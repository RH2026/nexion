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T:\MESA CONTROL ( Rigoberto )\NEXION\MATRICES\"/>
    </mc:Choice>
  </mc:AlternateContent>
  <xr:revisionPtr revIDLastSave="0" documentId="8_{E7FF499D-9A29-4789-9851-7AAD99743BA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mbarques Documentados por Eq.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960" i="1" l="1"/>
  <c r="BO960" i="1"/>
  <c r="BN960" i="1"/>
  <c r="BM960" i="1"/>
  <c r="BL960" i="1"/>
  <c r="BK960" i="1"/>
  <c r="BJ960" i="1"/>
  <c r="BI960" i="1"/>
  <c r="BH960" i="1"/>
  <c r="BG960" i="1"/>
  <c r="BF960" i="1"/>
  <c r="BE960" i="1"/>
  <c r="BD960" i="1"/>
  <c r="BC960" i="1"/>
  <c r="BB960" i="1"/>
  <c r="BA960" i="1"/>
  <c r="AZ960" i="1"/>
  <c r="AY960" i="1"/>
  <c r="AX960" i="1"/>
  <c r="AW960" i="1"/>
  <c r="AV960" i="1"/>
  <c r="AU960" i="1"/>
  <c r="AT960" i="1"/>
  <c r="AS960" i="1"/>
  <c r="AR960" i="1"/>
  <c r="AQ960" i="1"/>
  <c r="AP960" i="1"/>
  <c r="AO960" i="1"/>
  <c r="AN960" i="1"/>
  <c r="AM960" i="1"/>
  <c r="AL960" i="1"/>
  <c r="AK960" i="1"/>
  <c r="AJ960" i="1"/>
  <c r="AE960" i="1"/>
  <c r="AD960" i="1"/>
  <c r="AC960" i="1"/>
  <c r="AB960" i="1"/>
  <c r="AA960" i="1"/>
  <c r="Z960" i="1"/>
  <c r="Y960" i="1"/>
  <c r="X960" i="1"/>
  <c r="W960" i="1"/>
  <c r="V960" i="1"/>
  <c r="U960" i="1"/>
  <c r="T960" i="1"/>
  <c r="BQ959" i="1"/>
  <c r="BQ958" i="1"/>
  <c r="BQ957" i="1"/>
  <c r="BQ956" i="1"/>
  <c r="BQ955" i="1"/>
  <c r="BQ954" i="1"/>
  <c r="BQ953" i="1"/>
  <c r="BQ952" i="1"/>
  <c r="BQ951" i="1"/>
  <c r="BQ950" i="1"/>
  <c r="BQ949" i="1"/>
  <c r="BQ948" i="1"/>
  <c r="BQ947" i="1"/>
  <c r="BQ946" i="1"/>
  <c r="BQ945" i="1"/>
  <c r="BQ944" i="1"/>
  <c r="BQ943" i="1"/>
  <c r="BQ942" i="1"/>
  <c r="BQ941" i="1"/>
  <c r="BQ940" i="1"/>
  <c r="BQ939" i="1"/>
  <c r="BQ938" i="1"/>
  <c r="BQ937" i="1"/>
  <c r="BQ936" i="1"/>
  <c r="BQ935" i="1"/>
  <c r="BQ934" i="1"/>
  <c r="BQ933" i="1"/>
  <c r="BQ932" i="1"/>
  <c r="BQ931" i="1"/>
  <c r="BQ930" i="1"/>
  <c r="BQ929" i="1"/>
  <c r="BQ928" i="1"/>
  <c r="BQ927" i="1"/>
  <c r="BQ926" i="1"/>
  <c r="BQ925" i="1"/>
  <c r="BQ924" i="1"/>
  <c r="BQ923" i="1"/>
  <c r="BQ922" i="1"/>
  <c r="BQ921" i="1"/>
  <c r="BQ920" i="1"/>
  <c r="BQ919" i="1"/>
  <c r="BQ918" i="1"/>
  <c r="BQ917" i="1"/>
  <c r="BQ916" i="1"/>
  <c r="BQ915" i="1"/>
  <c r="BQ914" i="1"/>
  <c r="BQ913" i="1"/>
  <c r="BQ912" i="1"/>
  <c r="BQ911" i="1"/>
  <c r="BQ910" i="1"/>
  <c r="BQ909" i="1"/>
  <c r="BQ908" i="1"/>
  <c r="BQ907" i="1"/>
  <c r="BQ906" i="1"/>
  <c r="BQ905" i="1"/>
  <c r="BQ904" i="1"/>
  <c r="BQ903" i="1"/>
  <c r="BQ902" i="1"/>
  <c r="BQ901" i="1"/>
  <c r="BQ900" i="1"/>
  <c r="BQ899" i="1"/>
  <c r="BQ898" i="1"/>
  <c r="BQ897" i="1"/>
  <c r="BQ896" i="1"/>
  <c r="BQ895" i="1"/>
  <c r="BQ894" i="1"/>
  <c r="BQ893" i="1"/>
  <c r="BQ892" i="1"/>
  <c r="BQ891" i="1"/>
  <c r="BQ890" i="1"/>
  <c r="BQ889" i="1"/>
  <c r="BQ888" i="1"/>
  <c r="BQ887" i="1"/>
  <c r="BQ886" i="1"/>
  <c r="BQ885" i="1"/>
  <c r="BQ884" i="1"/>
  <c r="BQ883" i="1"/>
  <c r="BQ882" i="1"/>
  <c r="BQ881" i="1"/>
  <c r="BQ880" i="1"/>
  <c r="BQ879" i="1"/>
  <c r="BQ878" i="1"/>
  <c r="BQ877" i="1"/>
  <c r="BQ876" i="1"/>
  <c r="BQ875" i="1"/>
  <c r="BQ874" i="1"/>
  <c r="BQ873" i="1"/>
  <c r="BQ872" i="1"/>
  <c r="BQ871" i="1"/>
  <c r="BQ870" i="1"/>
  <c r="BQ869" i="1"/>
  <c r="BQ868" i="1"/>
  <c r="BQ867" i="1"/>
  <c r="BQ866" i="1"/>
  <c r="BQ865" i="1"/>
  <c r="BQ864" i="1"/>
  <c r="BQ863" i="1"/>
  <c r="BQ862" i="1"/>
  <c r="BQ861" i="1"/>
  <c r="BQ860" i="1"/>
  <c r="BQ859" i="1"/>
  <c r="BQ858" i="1"/>
  <c r="BQ857" i="1"/>
  <c r="BQ856" i="1"/>
  <c r="BQ855" i="1"/>
  <c r="BQ854" i="1"/>
  <c r="BQ853" i="1"/>
  <c r="BQ852" i="1"/>
  <c r="BQ851" i="1"/>
  <c r="BQ850" i="1"/>
  <c r="BQ849" i="1"/>
  <c r="BQ848" i="1"/>
  <c r="BQ847" i="1"/>
  <c r="BQ846" i="1"/>
  <c r="BQ845" i="1"/>
  <c r="BQ844" i="1"/>
  <c r="BQ843" i="1"/>
  <c r="BQ842" i="1"/>
  <c r="BQ841" i="1"/>
  <c r="BQ840" i="1"/>
  <c r="BQ839" i="1"/>
  <c r="BQ838" i="1"/>
  <c r="BQ837" i="1"/>
  <c r="BQ836" i="1"/>
  <c r="BQ835" i="1"/>
  <c r="BQ834" i="1"/>
  <c r="BQ833" i="1"/>
  <c r="BQ832" i="1"/>
  <c r="BQ831" i="1"/>
  <c r="BQ830" i="1"/>
  <c r="BQ829" i="1"/>
  <c r="BQ828" i="1"/>
  <c r="BQ827" i="1"/>
  <c r="BQ826" i="1"/>
  <c r="BQ825" i="1"/>
  <c r="BQ824" i="1"/>
  <c r="BQ823" i="1"/>
  <c r="BQ822" i="1"/>
  <c r="BQ821" i="1"/>
  <c r="BQ820" i="1"/>
  <c r="BQ819" i="1"/>
  <c r="BQ818" i="1"/>
  <c r="BQ817" i="1"/>
  <c r="BQ816" i="1"/>
  <c r="BQ815" i="1"/>
  <c r="BQ814" i="1"/>
  <c r="BQ813" i="1"/>
  <c r="BQ812" i="1"/>
  <c r="BQ811" i="1"/>
  <c r="BQ810" i="1"/>
  <c r="BQ809" i="1"/>
  <c r="BQ808" i="1"/>
  <c r="BQ807" i="1"/>
  <c r="BQ806" i="1"/>
  <c r="BQ805" i="1"/>
  <c r="BQ804" i="1"/>
  <c r="BQ803" i="1"/>
  <c r="BQ802" i="1"/>
  <c r="BQ801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BQ5" i="1"/>
  <c r="BQ4" i="1"/>
  <c r="BQ3" i="1"/>
  <c r="BQ2" i="1"/>
  <c r="BQ960" i="1" l="1"/>
</calcChain>
</file>

<file path=xl/sharedStrings.xml><?xml version="1.0" encoding="utf-8"?>
<sst xmlns="http://schemas.openxmlformats.org/spreadsheetml/2006/main" count="18385" uniqueCount="3940">
  <si>
    <t>CTO X TARIMA EAD - JYPESA</t>
  </si>
  <si>
    <t>CTO X TARIMA OCU - JYPESA</t>
  </si>
  <si>
    <t>CTO X 1 CAJA EAD - JYPESA</t>
  </si>
  <si>
    <t>CTO X 1 CAJA OCU - JYPESA</t>
  </si>
  <si>
    <t>CTO + 5 CAJAS EAD - JYPESA</t>
  </si>
  <si>
    <t>CTO + 5 CAJAS OCU - JYPESA</t>
  </si>
  <si>
    <t>CTO X 2 CAJAS EAD - JYPESA</t>
  </si>
  <si>
    <t>CTO X 2 CAJAS OCU - JYPESA</t>
  </si>
  <si>
    <t>CTO X 3 CAJAS EAD - JYPESA</t>
  </si>
  <si>
    <t>CTO X 3 CAJAS OCU - JYPESA</t>
  </si>
  <si>
    <t>CTO X 4 CAJAS EAD - JYPESA</t>
  </si>
  <si>
    <t>CTO X 4 CAJAS OCU - JYPESA</t>
  </si>
  <si>
    <t>Talon</t>
  </si>
  <si>
    <t>Factura</t>
  </si>
  <si>
    <t>Tipo Talon</t>
  </si>
  <si>
    <t>Tipo Documentacion</t>
  </si>
  <si>
    <t>Tipo Pago</t>
  </si>
  <si>
    <t>Tipo Referencias</t>
  </si>
  <si>
    <t>Observaciones 1</t>
  </si>
  <si>
    <t>Observaciones 2</t>
  </si>
  <si>
    <t>Observaciones 3</t>
  </si>
  <si>
    <t>Observaciones 4</t>
  </si>
  <si>
    <t>Orden Documentacion</t>
  </si>
  <si>
    <t>Origen</t>
  </si>
  <si>
    <t>Remitente</t>
  </si>
  <si>
    <t>Destino</t>
  </si>
  <si>
    <t>Destinatario</t>
  </si>
  <si>
    <t>Fecha</t>
  </si>
  <si>
    <t>Peso</t>
  </si>
  <si>
    <t>Mt3</t>
  </si>
  <si>
    <t>Peso Estimado</t>
  </si>
  <si>
    <t>Entrega Adicional</t>
  </si>
  <si>
    <t>EAD Foranea</t>
  </si>
  <si>
    <t>Cita EAD</t>
  </si>
  <si>
    <t>Valor</t>
  </si>
  <si>
    <t>Seguro</t>
  </si>
  <si>
    <t>Maniobras Ocurre</t>
  </si>
  <si>
    <t>Cita Recoleccion</t>
  </si>
  <si>
    <t>Recoleccion Especial</t>
  </si>
  <si>
    <t>Recoleccion Foranea</t>
  </si>
  <si>
    <t>Demora</t>
  </si>
  <si>
    <t>CPAC</t>
  </si>
  <si>
    <t>Ferry Unidad</t>
  </si>
  <si>
    <t>Ferry Recoleccion</t>
  </si>
  <si>
    <t>Ferry EAD</t>
  </si>
  <si>
    <t>Acceso Carga</t>
  </si>
  <si>
    <t>Acceso Descarga</t>
  </si>
  <si>
    <t>Flete Vacio</t>
  </si>
  <si>
    <t>Renta Camioneta</t>
  </si>
  <si>
    <t>Servicios</t>
  </si>
  <si>
    <t>Empaque/Embalaje</t>
  </si>
  <si>
    <t>Trasbordo</t>
  </si>
  <si>
    <t>Flete</t>
  </si>
  <si>
    <t>Entrega Especial</t>
  </si>
  <si>
    <t>EAD</t>
  </si>
  <si>
    <t>Maniobras</t>
  </si>
  <si>
    <t>Entrega Cita</t>
  </si>
  <si>
    <t>Recoleccion</t>
  </si>
  <si>
    <t>Almacenaje</t>
  </si>
  <si>
    <t>Estadia</t>
  </si>
  <si>
    <t>Peaje</t>
  </si>
  <si>
    <t>Maniobras Descarga</t>
  </si>
  <si>
    <t>SubTotal</t>
  </si>
  <si>
    <t>Iva</t>
  </si>
  <si>
    <t>Iva Retenido</t>
  </si>
  <si>
    <t>Importe</t>
  </si>
  <si>
    <t>Sucursal</t>
  </si>
  <si>
    <t>Fac. Global</t>
  </si>
  <si>
    <t>UUID</t>
  </si>
  <si>
    <t>GLZ03037211</t>
  </si>
  <si>
    <t>00120504222</t>
  </si>
  <si>
    <t>PAQUETERIA</t>
  </si>
  <si>
    <t>AUTOMATICA</t>
  </si>
  <si>
    <t>Cobrar al Regreso</t>
  </si>
  <si>
    <t>.</t>
  </si>
  <si>
    <t>RECABAR FACTURA CON NOMBRE, FIRMA, FECHA Y/O SELLO</t>
  </si>
  <si>
    <t>00239172</t>
  </si>
  <si>
    <t>GONZALEZ GALLO, JAL.</t>
  </si>
  <si>
    <t>JABONES Y PRODUCTOS ESPECIALIZADOS</t>
  </si>
  <si>
    <t>VENUSTIANO CARRANZA</t>
  </si>
  <si>
    <t>TRU BY HILTON AEROPUERTO MEXICO</t>
  </si>
  <si>
    <t>01/07/2026</t>
  </si>
  <si>
    <t xml:space="preserve">Carritos y accesorios para limpieza Muebles </t>
  </si>
  <si>
    <t>TLALNEPANTLA, EDO DE MEX</t>
  </si>
  <si>
    <t xml:space="preserve"> 3   - 1  </t>
  </si>
  <si>
    <t xml:space="preserve"> C.C.   - C.C.  </t>
  </si>
  <si>
    <t xml:space="preserve"> 24 - 60</t>
  </si>
  <si>
    <t xml:space="preserve"> .8 - .62</t>
  </si>
  <si>
    <t xml:space="preserve"> 321 - 248</t>
  </si>
  <si>
    <t>TOL01553801</t>
  </si>
  <si>
    <t>00120540413</t>
  </si>
  <si>
    <t>00000000</t>
  </si>
  <si>
    <t>TOLUCA, EDO. DE MEXICO</t>
  </si>
  <si>
    <t>HOLIDAY INN EXPRESS TOLUCA</t>
  </si>
  <si>
    <t>GUADALAJARA, JAL.</t>
  </si>
  <si>
    <t>JYPESA</t>
  </si>
  <si>
    <t>02/07/2026</t>
  </si>
  <si>
    <t xml:space="preserve">Carritos y accesorios para limpieza </t>
  </si>
  <si>
    <t xml:space="preserve"> 6  </t>
  </si>
  <si>
    <t xml:space="preserve"> C.C.  </t>
  </si>
  <si>
    <t xml:space="preserve"> 42</t>
  </si>
  <si>
    <t xml:space="preserve"> .11</t>
  </si>
  <si>
    <t xml:space="preserve"> 45</t>
  </si>
  <si>
    <t>GLZ03046114</t>
  </si>
  <si>
    <t>00120867054</t>
  </si>
  <si>
    <t>00240699</t>
  </si>
  <si>
    <t>TUXTLA GUTIERREZ, CHIS.</t>
  </si>
  <si>
    <t>CITY EXPRESS TUXTLA GUTIERREZ (CETGZ)</t>
  </si>
  <si>
    <t>08/07/2026</t>
  </si>
  <si>
    <t xml:space="preserve">Bano y cuerpo 240699 </t>
  </si>
  <si>
    <t xml:space="preserve"> 1  </t>
  </si>
  <si>
    <t xml:space="preserve"> 6</t>
  </si>
  <si>
    <t xml:space="preserve"> .12</t>
  </si>
  <si>
    <t xml:space="preserve"> 48</t>
  </si>
  <si>
    <t>PCA00066362</t>
  </si>
  <si>
    <t>00120992162</t>
  </si>
  <si>
    <t>FACT:240871</t>
  </si>
  <si>
    <t>PLAYA DEL CARMEN, Q.ROO</t>
  </si>
  <si>
    <t>JABONES Y PRODUCTOS ESPECIALIZADOS S.A. DE C.V.</t>
  </si>
  <si>
    <t>PUEBLA, PUE.</t>
  </si>
  <si>
    <t>HOLIDAY INN ESPRES</t>
  </si>
  <si>
    <t>10/07/2026</t>
  </si>
  <si>
    <t xml:space="preserve">shampoo dove </t>
  </si>
  <si>
    <t xml:space="preserve"> 4  </t>
  </si>
  <si>
    <t xml:space="preserve"> 68</t>
  </si>
  <si>
    <t xml:space="preserve"> .13</t>
  </si>
  <si>
    <t>PCA00066363</t>
  </si>
  <si>
    <t>00120992388</t>
  </si>
  <si>
    <t>FACT:240870</t>
  </si>
  <si>
    <t>AGUASCALIENTES, AGS.</t>
  </si>
  <si>
    <t>HOLIDAY INN SUITES AGUASCALIENTES</t>
  </si>
  <si>
    <t xml:space="preserve"> 3  </t>
  </si>
  <si>
    <t xml:space="preserve"> 51</t>
  </si>
  <si>
    <t xml:space="preserve"> .1</t>
  </si>
  <si>
    <t>GLZ03057036</t>
  </si>
  <si>
    <t>00121210913</t>
  </si>
  <si>
    <t>00240994</t>
  </si>
  <si>
    <t>TIJUANA, B.C.N.</t>
  </si>
  <si>
    <t>HOTEL LUCERNA TIJUANA</t>
  </si>
  <si>
    <t>15/07/2026</t>
  </si>
  <si>
    <t xml:space="preserve">Mesas de plancha 240994 </t>
  </si>
  <si>
    <t>TIJUANA, BC.</t>
  </si>
  <si>
    <t xml:space="preserve"> 2  </t>
  </si>
  <si>
    <t xml:space="preserve"> 28</t>
  </si>
  <si>
    <t xml:space="preserve"> .21</t>
  </si>
  <si>
    <t xml:space="preserve"> 84</t>
  </si>
  <si>
    <t>VEM00027808</t>
  </si>
  <si>
    <t>00121290501</t>
  </si>
  <si>
    <t>VIAJA POR CUENTA Y RIESGO DEL CLIENTE</t>
  </si>
  <si>
    <t>CAPTADORA VERACRUZ</t>
  </si>
  <si>
    <t>ADRIAN RODRIGUEZ</t>
  </si>
  <si>
    <t>JABONES Y PRODUCTOS ESPECIALIZADOS SA DE CV</t>
  </si>
  <si>
    <t>16/07/2026</t>
  </si>
  <si>
    <t xml:space="preserve">vaners </t>
  </si>
  <si>
    <t xml:space="preserve"> ATAD  </t>
  </si>
  <si>
    <t xml:space="preserve"> 17</t>
  </si>
  <si>
    <t xml:space="preserve"> .14</t>
  </si>
  <si>
    <t xml:space="preserve"> 57</t>
  </si>
  <si>
    <t>GLZ03062959</t>
  </si>
  <si>
    <t>00121370780</t>
  </si>
  <si>
    <t>00241161</t>
  </si>
  <si>
    <t>CUAUHTEMOC, CDMX.</t>
  </si>
  <si>
    <t>CITY CENTRO CIUDAD DE MEXICO</t>
  </si>
  <si>
    <t>17/07/2026</t>
  </si>
  <si>
    <t xml:space="preserve">Contenedores de desperdicios 241161 </t>
  </si>
  <si>
    <t xml:space="preserve"> PZA.  </t>
  </si>
  <si>
    <t xml:space="preserve"> 20</t>
  </si>
  <si>
    <t xml:space="preserve"> .66</t>
  </si>
  <si>
    <t xml:space="preserve"> 265</t>
  </si>
  <si>
    <t>GLZ03062960</t>
  </si>
  <si>
    <t>00121370863</t>
  </si>
  <si>
    <t>00241179</t>
  </si>
  <si>
    <t>LAZARO CARDENAS, MICH.</t>
  </si>
  <si>
    <t>BAYMONT INN &amp; SUITES</t>
  </si>
  <si>
    <t xml:space="preserve">Mesas de plancha 241179 </t>
  </si>
  <si>
    <t>ZIHUATANEJO, GRO.</t>
  </si>
  <si>
    <t xml:space="preserve"> 39</t>
  </si>
  <si>
    <t xml:space="preserve"> .3</t>
  </si>
  <si>
    <t xml:space="preserve"> 120</t>
  </si>
  <si>
    <t>GLZ03062963</t>
  </si>
  <si>
    <t>00121370915</t>
  </si>
  <si>
    <t>00241194</t>
  </si>
  <si>
    <t>CITY EXPRESS PLUS TIJUANA TOREO</t>
  </si>
  <si>
    <t xml:space="preserve">Carritos y accesorios para limpieza 241194 </t>
  </si>
  <si>
    <t xml:space="preserve"> 30</t>
  </si>
  <si>
    <t xml:space="preserve"> .39</t>
  </si>
  <si>
    <t xml:space="preserve"> 156</t>
  </si>
  <si>
    <t>THO04584206</t>
  </si>
  <si>
    <t>00121700043</t>
  </si>
  <si>
    <t>CONGRESO</t>
  </si>
  <si>
    <t>ALTEQUIPA</t>
  </si>
  <si>
    <t>MEXICALI, B.C.N.</t>
  </si>
  <si>
    <t>HOLIDAY INN MEXICALI</t>
  </si>
  <si>
    <t>24/07/2026</t>
  </si>
  <si>
    <t xml:space="preserve">8813 Amenidades / Caja </t>
  </si>
  <si>
    <t>MEXICALI, BCN.</t>
  </si>
  <si>
    <t xml:space="preserve"> 9  </t>
  </si>
  <si>
    <t xml:space="preserve"> 95</t>
  </si>
  <si>
    <t xml:space="preserve"> .47</t>
  </si>
  <si>
    <t xml:space="preserve"> 190</t>
  </si>
  <si>
    <t>GLZ03085757</t>
  </si>
  <si>
    <t>00122058261</t>
  </si>
  <si>
    <t>00241603</t>
  </si>
  <si>
    <t>ACAPULCO, GRO.</t>
  </si>
  <si>
    <t>FIESTA AMERICANA VILLAS ACAPULCO</t>
  </si>
  <si>
    <t>31/07/2026</t>
  </si>
  <si>
    <t xml:space="preserve">Equipo de limpieza </t>
  </si>
  <si>
    <t xml:space="preserve"> 36</t>
  </si>
  <si>
    <t xml:space="preserve"> .59</t>
  </si>
  <si>
    <t xml:space="preserve"> 234</t>
  </si>
  <si>
    <t>GLZ03086142</t>
  </si>
  <si>
    <t>00122082230</t>
  </si>
  <si>
    <t>00240226</t>
  </si>
  <si>
    <t>HOLIDAY INN MEXICALI ALTEQUIPA</t>
  </si>
  <si>
    <t>01/08/2026</t>
  </si>
  <si>
    <t xml:space="preserve">Trapos y panos de limpieza </t>
  </si>
  <si>
    <t xml:space="preserve"> 2</t>
  </si>
  <si>
    <t xml:space="preserve"> 38</t>
  </si>
  <si>
    <t>GLZ03097443</t>
  </si>
  <si>
    <t>00122448572</t>
  </si>
  <si>
    <t>00242134</t>
  </si>
  <si>
    <t>08/08/2026</t>
  </si>
  <si>
    <t xml:space="preserve">Planchas de ropa para uso domestico Planchas de ropa para uso domestico </t>
  </si>
  <si>
    <t xml:space="preserve"> 30 - 25</t>
  </si>
  <si>
    <t xml:space="preserve"> .21 - .17</t>
  </si>
  <si>
    <t xml:space="preserve"> 85 - 69</t>
  </si>
  <si>
    <t>GLZ03115516</t>
  </si>
  <si>
    <t>00122998217</t>
  </si>
  <si>
    <t>00242606</t>
  </si>
  <si>
    <t>MONCLOVA, COAH.</t>
  </si>
  <si>
    <t>FIESTA INN MONCLOVA</t>
  </si>
  <si>
    <t>19/08/2026</t>
  </si>
  <si>
    <t xml:space="preserve">Contenedores de desperdicios o revestimi </t>
  </si>
  <si>
    <t xml:space="preserve"> BULT  </t>
  </si>
  <si>
    <t xml:space="preserve"> .41</t>
  </si>
  <si>
    <t xml:space="preserve"> 165</t>
  </si>
  <si>
    <t>GLZ03115534</t>
  </si>
  <si>
    <t>00122998394</t>
  </si>
  <si>
    <t>00242613</t>
  </si>
  <si>
    <t>IZTACALCO</t>
  </si>
  <si>
    <t>FIESTA AMERICANA VIADUCTO CHURUBUSCO(FFAXV)</t>
  </si>
  <si>
    <t xml:space="preserve">Carritos de portero </t>
  </si>
  <si>
    <t>IZTAPALAPA, MEXICO D.F.</t>
  </si>
  <si>
    <t xml:space="preserve"> 20  </t>
  </si>
  <si>
    <t xml:space="preserve"> 180</t>
  </si>
  <si>
    <t xml:space="preserve"> 1.76</t>
  </si>
  <si>
    <t xml:space="preserve"> 705</t>
  </si>
  <si>
    <t>GLZ03115560</t>
  </si>
  <si>
    <t>00122998657</t>
  </si>
  <si>
    <t>00242588</t>
  </si>
  <si>
    <t>LA PAZ, B.C.S.</t>
  </si>
  <si>
    <t>LIVE AQUA RESIDENCE</t>
  </si>
  <si>
    <t xml:space="preserve">Bolsas de basura </t>
  </si>
  <si>
    <t>LA PAZ, BCS.</t>
  </si>
  <si>
    <t xml:space="preserve"> 12</t>
  </si>
  <si>
    <t>GLZ03115638</t>
  </si>
  <si>
    <t>00122999389</t>
  </si>
  <si>
    <t>00242650</t>
  </si>
  <si>
    <t>HUATULCO, OAX.</t>
  </si>
  <si>
    <t>HOTEL DREAMS HUATULCO</t>
  </si>
  <si>
    <t xml:space="preserve"> 26</t>
  </si>
  <si>
    <t xml:space="preserve"> .32</t>
  </si>
  <si>
    <t xml:space="preserve"> 127</t>
  </si>
  <si>
    <t>GLZ03117505</t>
  </si>
  <si>
    <t>00123061026</t>
  </si>
  <si>
    <t>00242661</t>
  </si>
  <si>
    <t>CITY EXPRESS MUNDO E PLUS</t>
  </si>
  <si>
    <t>20/08/2026</t>
  </si>
  <si>
    <t xml:space="preserve">Carritos de portero Carritos de portero </t>
  </si>
  <si>
    <t xml:space="preserve"> 1   - 1  </t>
  </si>
  <si>
    <t xml:space="preserve"> 6 - 15</t>
  </si>
  <si>
    <t xml:space="preserve"> .12 - .17</t>
  </si>
  <si>
    <t xml:space="preserve"> 48 - 67</t>
  </si>
  <si>
    <t>GLZ03117511</t>
  </si>
  <si>
    <t>00123061115</t>
  </si>
  <si>
    <t>00242685</t>
  </si>
  <si>
    <t>CITY JUNIOR TIJUANA OTAY</t>
  </si>
  <si>
    <t xml:space="preserve"> .24</t>
  </si>
  <si>
    <t xml:space="preserve"> 97</t>
  </si>
  <si>
    <t>PCA00067542</t>
  </si>
  <si>
    <t>00123104659</t>
  </si>
  <si>
    <t>FACTURA 242800</t>
  </si>
  <si>
    <t>ORIZABA, VER.</t>
  </si>
  <si>
    <t>HOLLDDY INN ORIZABA VEROZ</t>
  </si>
  <si>
    <t>21/08/2026</t>
  </si>
  <si>
    <t xml:space="preserve">Bano y cuerpo </t>
  </si>
  <si>
    <t>CORDOBA, VER.</t>
  </si>
  <si>
    <t>GLZ03037132</t>
  </si>
  <si>
    <t>00120502552</t>
  </si>
  <si>
    <t>EQUIVALENCIAS</t>
  </si>
  <si>
    <t>JYP-137</t>
  </si>
  <si>
    <t>00000137</t>
  </si>
  <si>
    <t>TLAXCALA, TLAX.</t>
  </si>
  <si>
    <t>EDITH COYOTZI</t>
  </si>
  <si>
    <t>APIZACO</t>
  </si>
  <si>
    <t xml:space="preserve"> 11</t>
  </si>
  <si>
    <t xml:space="preserve"> 0</t>
  </si>
  <si>
    <t>GLZ03037150</t>
  </si>
  <si>
    <t>00120502838</t>
  </si>
  <si>
    <t>JYP-140</t>
  </si>
  <si>
    <t>00000140</t>
  </si>
  <si>
    <t>HOTEL TLAXCALA/ ERNESTO GALICIA</t>
  </si>
  <si>
    <t>GLZ03037159</t>
  </si>
  <si>
    <t>00120503137</t>
  </si>
  <si>
    <t>JYP-139
ATN SAMUEL SEVILLA MORALES</t>
  </si>
  <si>
    <t>TEL 241-417-6800</t>
  </si>
  <si>
    <t>00000139</t>
  </si>
  <si>
    <t>APIZACO, TLAX.</t>
  </si>
  <si>
    <t>HOTEL DEL ANGEL TLAXCALA</t>
  </si>
  <si>
    <t>GLZ03037163</t>
  </si>
  <si>
    <t>00120503205</t>
  </si>
  <si>
    <t>00240318</t>
  </si>
  <si>
    <t>DURANGO, DGO.</t>
  </si>
  <si>
    <t>WYNDHAM DURANGO</t>
  </si>
  <si>
    <t xml:space="preserve"> 33</t>
  </si>
  <si>
    <t>GLZ03037168</t>
  </si>
  <si>
    <t>00120503302</t>
  </si>
  <si>
    <t>00240251</t>
  </si>
  <si>
    <t>TAPACHULA, CHIS.</t>
  </si>
  <si>
    <t>HOLIDAY INN EXPRESS TAPACHULA</t>
  </si>
  <si>
    <t>TAPACHULA, CHIPS.</t>
  </si>
  <si>
    <t>GLZ03037172</t>
  </si>
  <si>
    <t>00120503387</t>
  </si>
  <si>
    <t>00240321</t>
  </si>
  <si>
    <t>CABO SAN LUCAS, BCS.</t>
  </si>
  <si>
    <t>HOLIDAY INN EXPRESS LOS CABOS</t>
  </si>
  <si>
    <t xml:space="preserve"> 44</t>
  </si>
  <si>
    <t>GLZ03037174</t>
  </si>
  <si>
    <t>00120503467</t>
  </si>
  <si>
    <t>00240258</t>
  </si>
  <si>
    <t>APODACA, N.L.</t>
  </si>
  <si>
    <t>HOLIDAY INN &amp; SUITES MONTERREY APODACA</t>
  </si>
  <si>
    <t>MONTERREY,  N.L.</t>
  </si>
  <si>
    <t xml:space="preserve"> 55</t>
  </si>
  <si>
    <t>GLZ03037186</t>
  </si>
  <si>
    <t>00120503725</t>
  </si>
  <si>
    <t>00240252</t>
  </si>
  <si>
    <t>HERMOSILLO, SON.</t>
  </si>
  <si>
    <t>HOLIDAY INN &amp; SUITES HERMOSILLO AEROPUERTO</t>
  </si>
  <si>
    <t xml:space="preserve"> 22</t>
  </si>
  <si>
    <t>GLZ03037192</t>
  </si>
  <si>
    <t>00120503795</t>
  </si>
  <si>
    <t>00240263</t>
  </si>
  <si>
    <t>QUERETARO, QRO.</t>
  </si>
  <si>
    <t>HOLIDAY INN QUERETARO ZONA DIAMANTE</t>
  </si>
  <si>
    <t xml:space="preserve"> 77</t>
  </si>
  <si>
    <t>GLZ03037194</t>
  </si>
  <si>
    <t>00120503878</t>
  </si>
  <si>
    <t>00240259</t>
  </si>
  <si>
    <t>MERIDA, YUC.</t>
  </si>
  <si>
    <t>HOLIDAY INN MERIDA</t>
  </si>
  <si>
    <t>GLZ03037196</t>
  </si>
  <si>
    <t>00120503960</t>
  </si>
  <si>
    <t>00240264</t>
  </si>
  <si>
    <t>HOLIDAY INN MONCLOVA // ROSYY VAZQUEZ LOPEZ</t>
  </si>
  <si>
    <t>GLZ03037201</t>
  </si>
  <si>
    <t>00120504007</t>
  </si>
  <si>
    <t>00240261</t>
  </si>
  <si>
    <t>ENSENADA, B.C.N.</t>
  </si>
  <si>
    <t>HOLIDAY INN EXPRESS &amp; SUITES ENSENADA</t>
  </si>
  <si>
    <t>GLZ03039095</t>
  </si>
  <si>
    <t>00120570885</t>
  </si>
  <si>
    <t>JYP-138
TEL 7717291768</t>
  </si>
  <si>
    <t>ATN PATRICIA BAÑOS</t>
  </si>
  <si>
    <t>00000138</t>
  </si>
  <si>
    <t>PACHUCA, HGO.</t>
  </si>
  <si>
    <t>HOTEL LA PAZ</t>
  </si>
  <si>
    <t>GLZ03039342</t>
  </si>
  <si>
    <t>00120575041</t>
  </si>
  <si>
    <t>00240458</t>
  </si>
  <si>
    <t>COURTYARD MARRIOT TOLLOCAN</t>
  </si>
  <si>
    <t>TOLUCA, EDO. DE MEXICO.</t>
  </si>
  <si>
    <t xml:space="preserve"> 110</t>
  </si>
  <si>
    <t>GLZ03039343</t>
  </si>
  <si>
    <t>00120575068</t>
  </si>
  <si>
    <t>00240452</t>
  </si>
  <si>
    <t>COATZACOALCOS, VER.</t>
  </si>
  <si>
    <t>HOTEL EXTENDED SUITES COATZACOALCOS FORUM</t>
  </si>
  <si>
    <t>COATZACOALCOS VER.</t>
  </si>
  <si>
    <t xml:space="preserve"> 132</t>
  </si>
  <si>
    <t>GLZ03039346</t>
  </si>
  <si>
    <t>00120575083</t>
  </si>
  <si>
    <t>00240451</t>
  </si>
  <si>
    <t>EMPORIO ACAPULCO</t>
  </si>
  <si>
    <t xml:space="preserve"> 220</t>
  </si>
  <si>
    <t>GLZ03039347</t>
  </si>
  <si>
    <t>00120575106</t>
  </si>
  <si>
    <t>240449º</t>
  </si>
  <si>
    <t>00240449</t>
  </si>
  <si>
    <t>HOTEL EXTENDED SUITES MEXICALI CATAVI?</t>
  </si>
  <si>
    <t>GLZ03039349</t>
  </si>
  <si>
    <t>00120575149</t>
  </si>
  <si>
    <t>00240443</t>
  </si>
  <si>
    <t>TEHUACAN, PUE.</t>
  </si>
  <si>
    <t>CITY EXPRESS TEHUACAN</t>
  </si>
  <si>
    <t xml:space="preserve"> 198</t>
  </si>
  <si>
    <t>GLZ03039351</t>
  </si>
  <si>
    <t>00120575204</t>
  </si>
  <si>
    <t>00240439</t>
  </si>
  <si>
    <t>HOTEL COLONIAL HERMOSILLO</t>
  </si>
  <si>
    <t xml:space="preserve"> 66</t>
  </si>
  <si>
    <t>GLZ03039353</t>
  </si>
  <si>
    <t>00120575238</t>
  </si>
  <si>
    <t>00240467</t>
  </si>
  <si>
    <t>SILAO, GTO.</t>
  </si>
  <si>
    <t>FAIRFIELD INN AND SUITES SILAO</t>
  </si>
  <si>
    <t>LEON, GTO.</t>
  </si>
  <si>
    <t xml:space="preserve"> 99</t>
  </si>
  <si>
    <t>GLZ03039354</t>
  </si>
  <si>
    <t>00120575262</t>
  </si>
  <si>
    <t>00240453</t>
  </si>
  <si>
    <t>SALINA CRUZ, OAX.</t>
  </si>
  <si>
    <t>CITY EXPRESS SALINA CRUZ CESCX</t>
  </si>
  <si>
    <t xml:space="preserve"> 154</t>
  </si>
  <si>
    <t>GLZ03039355</t>
  </si>
  <si>
    <t>00120575285</t>
  </si>
  <si>
    <t>00240361</t>
  </si>
  <si>
    <t>CITY EXPRESS SILAO AEROPUERTO</t>
  </si>
  <si>
    <t>GLZ03039357</t>
  </si>
  <si>
    <t>00120575340</t>
  </si>
  <si>
    <t>00240358</t>
  </si>
  <si>
    <t>CIUDAD DEL CARMEN, CAMP.</t>
  </si>
  <si>
    <t>CITY EXPRESS CIUDAD DEL CARMEN CECME</t>
  </si>
  <si>
    <t>CD. DEL CARMEN, CAMP.</t>
  </si>
  <si>
    <t>GLZ03039360</t>
  </si>
  <si>
    <t>00120575374</t>
  </si>
  <si>
    <t>00240357</t>
  </si>
  <si>
    <t>CITY SUITES QUERETARO</t>
  </si>
  <si>
    <t xml:space="preserve"> 253</t>
  </si>
  <si>
    <t>GLZ03039362</t>
  </si>
  <si>
    <t>00120575402</t>
  </si>
  <si>
    <t>00240356</t>
  </si>
  <si>
    <t>CHIHUAHUA, CHIH.</t>
  </si>
  <si>
    <t>CITY EXPRESS CHIHUAHUA</t>
  </si>
  <si>
    <t xml:space="preserve"> 143</t>
  </si>
  <si>
    <t>GLZ03039363</t>
  </si>
  <si>
    <t>00120575426</t>
  </si>
  <si>
    <t>00240355</t>
  </si>
  <si>
    <t>SAN LUIS POTOSI, S.L.P.</t>
  </si>
  <si>
    <t>CITY EXPRESS PLUS SAN LUIS POTOSI</t>
  </si>
  <si>
    <t>SAN LUIS POTOSI, SLP.</t>
  </si>
  <si>
    <t>GLZ03039367</t>
  </si>
  <si>
    <t>00120575612</t>
  </si>
  <si>
    <t>00240461</t>
  </si>
  <si>
    <t>HOTEL HILTON GARDEN INN TUXTLA GUTIERREZ</t>
  </si>
  <si>
    <t xml:space="preserve"> 242</t>
  </si>
  <si>
    <t>GLZ03039368</t>
  </si>
  <si>
    <t>00120575670</t>
  </si>
  <si>
    <t>00240460</t>
  </si>
  <si>
    <t>MARRIOTT AEROPUERTO COURTYARD TOLUCA</t>
  </si>
  <si>
    <t>GLZ03039369</t>
  </si>
  <si>
    <t>00120575698</t>
  </si>
  <si>
    <t>00240376</t>
  </si>
  <si>
    <t>HAMPTON MERIDA YUCATAN MEXICO</t>
  </si>
  <si>
    <t>GLZ03039377</t>
  </si>
  <si>
    <t>00120575793</t>
  </si>
  <si>
    <t>00240375</t>
  </si>
  <si>
    <t>FIESTA INN SILAO AEROPUERTO BAJIO (FISIL)</t>
  </si>
  <si>
    <t>GLZ03039381</t>
  </si>
  <si>
    <t>00120575833</t>
  </si>
  <si>
    <t>00240366</t>
  </si>
  <si>
    <t>BENITO JUAREZ, CDMX.</t>
  </si>
  <si>
    <t>CITY PLUS INSURGENTES SUR</t>
  </si>
  <si>
    <t xml:space="preserve"> 1287</t>
  </si>
  <si>
    <t xml:space="preserve"> 187</t>
  </si>
  <si>
    <t>GLZ03039383</t>
  </si>
  <si>
    <t>00120575883</t>
  </si>
  <si>
    <t>00240365</t>
  </si>
  <si>
    <t>PLAYAS DE ROSARITO, B.C.N.</t>
  </si>
  <si>
    <t>CITY EXPRESS ROSARITO</t>
  </si>
  <si>
    <t xml:space="preserve"> 121</t>
  </si>
  <si>
    <t>GLZ03039386</t>
  </si>
  <si>
    <t>00120575927</t>
  </si>
  <si>
    <t>00240364</t>
  </si>
  <si>
    <t>TUXPAN, VER.</t>
  </si>
  <si>
    <t>CITY EXPRESS TUXPAN</t>
  </si>
  <si>
    <t>POZA RICA, VER.</t>
  </si>
  <si>
    <t>GLZ03039389</t>
  </si>
  <si>
    <t>00120575964</t>
  </si>
  <si>
    <t>00240362</t>
  </si>
  <si>
    <t>ATITALAQUIA, HGO.</t>
  </si>
  <si>
    <t>CITY EXPRESS BY MARRIOTT TULA</t>
  </si>
  <si>
    <t xml:space="preserve"> 176</t>
  </si>
  <si>
    <t>GLZ03039391</t>
  </si>
  <si>
    <t>00120575993</t>
  </si>
  <si>
    <t>00240386</t>
  </si>
  <si>
    <t>CITY JUNIOR  CIUDAD DEL CARMEN</t>
  </si>
  <si>
    <t>GLZ03039395</t>
  </si>
  <si>
    <t>00120576009</t>
  </si>
  <si>
    <t>00240385</t>
  </si>
  <si>
    <t>CITY EXPRESS PLAZA TIJUANA OTAY</t>
  </si>
  <si>
    <t>GLZ03039396</t>
  </si>
  <si>
    <t>00120576051</t>
  </si>
  <si>
    <t>00240383</t>
  </si>
  <si>
    <t>LOS MOCHIS, SIN.</t>
  </si>
  <si>
    <t>CITY EXPRESS LOS MOCHIS</t>
  </si>
  <si>
    <t>GLZ03039397</t>
  </si>
  <si>
    <t>00120576086</t>
  </si>
  <si>
    <t>00240382</t>
  </si>
  <si>
    <t>BOCA DEL RIO, VER</t>
  </si>
  <si>
    <t>CITY EXPRESS VERACRUZ</t>
  </si>
  <si>
    <t>VERACRUZ, VER.</t>
  </si>
  <si>
    <t xml:space="preserve"> 363</t>
  </si>
  <si>
    <t>GLZ03039401</t>
  </si>
  <si>
    <t>00120576225</t>
  </si>
  <si>
    <t>00240378</t>
  </si>
  <si>
    <t>SAN FRANCISCO HOTEL PANORAMA</t>
  </si>
  <si>
    <t>GLZ03039403</t>
  </si>
  <si>
    <t>00120576260</t>
  </si>
  <si>
    <t>240415-240416</t>
  </si>
  <si>
    <t>00240415</t>
  </si>
  <si>
    <t>DISTRIBUIDORA JOFA</t>
  </si>
  <si>
    <t>GLZ03039404</t>
  </si>
  <si>
    <t>00120576285</t>
  </si>
  <si>
    <t>00240412</t>
  </si>
  <si>
    <t>HOTEL INDIGO LA PAZ</t>
  </si>
  <si>
    <t>GLZ03039406</t>
  </si>
  <si>
    <t>00120576319</t>
  </si>
  <si>
    <t>00240403</t>
  </si>
  <si>
    <t>CUAUTLANCINGO, PUE.</t>
  </si>
  <si>
    <t>CITY EXPRESS PUEBLA FINSA</t>
  </si>
  <si>
    <t>GLZ03039407</t>
  </si>
  <si>
    <t>00120576349</t>
  </si>
  <si>
    <t>00240402</t>
  </si>
  <si>
    <t>MANZANILLO, COL.</t>
  </si>
  <si>
    <t>CITY EXPRESS MANZANILLO</t>
  </si>
  <si>
    <t>GLZ03039408</t>
  </si>
  <si>
    <t>00120576386</t>
  </si>
  <si>
    <t>00240401</t>
  </si>
  <si>
    <t>CITY JUNIOR AEROPUERTO</t>
  </si>
  <si>
    <t>GLZ03039410</t>
  </si>
  <si>
    <t>00120576417</t>
  </si>
  <si>
    <t>00240400</t>
  </si>
  <si>
    <t>CITY EXPRESS JUNIOR PUEBLA FINSA</t>
  </si>
  <si>
    <t>GLZ03039416</t>
  </si>
  <si>
    <t>00120576598</t>
  </si>
  <si>
    <t>00240399</t>
  </si>
  <si>
    <t>CITY EXPRESS APIZACO</t>
  </si>
  <si>
    <t>GLZ03039417</t>
  </si>
  <si>
    <t>00120576695</t>
  </si>
  <si>
    <t>00240398</t>
  </si>
  <si>
    <t>CITY EXPRESS SAN LUIS POTOSI ZONA INDUSTRIAL</t>
  </si>
  <si>
    <t>GLZ03039418</t>
  </si>
  <si>
    <t>00120576719</t>
  </si>
  <si>
    <t>00240397</t>
  </si>
  <si>
    <t>CITY EXPRESS ENSENADA</t>
  </si>
  <si>
    <t>GLZ03039419</t>
  </si>
  <si>
    <t>00120576752</t>
  </si>
  <si>
    <t>00240396</t>
  </si>
  <si>
    <t>CITY JUNIOR MEXICALI</t>
  </si>
  <si>
    <t>GLZ03039420</t>
  </si>
  <si>
    <t>00120576779</t>
  </si>
  <si>
    <t>00240395</t>
  </si>
  <si>
    <t>AZCAPOTZALCO</t>
  </si>
  <si>
    <t>CITY EXPRESS LA RAZA (CELRZ)</t>
  </si>
  <si>
    <t>GLZ03039421</t>
  </si>
  <si>
    <t>00120576842</t>
  </si>
  <si>
    <t>00240394</t>
  </si>
  <si>
    <t>CIUDAD JUAREZ, CHI</t>
  </si>
  <si>
    <t>CITY JUNIOR CIUDAD JUAREZ CONSULADO</t>
  </si>
  <si>
    <t>CD. JUAREZ, CHIH.</t>
  </si>
  <si>
    <t>GLZ03039422</t>
  </si>
  <si>
    <t>00120576874</t>
  </si>
  <si>
    <t>00240393</t>
  </si>
  <si>
    <t>CITY EXPRESS TUXTLA GUTIERREZ</t>
  </si>
  <si>
    <t>GLZ03039423</t>
  </si>
  <si>
    <t>00120576897</t>
  </si>
  <si>
    <t>00240392</t>
  </si>
  <si>
    <t>CITY EXPRESS MONTERREY AEROPUERTO</t>
  </si>
  <si>
    <t xml:space="preserve"> 209</t>
  </si>
  <si>
    <t>GLZ03039424</t>
  </si>
  <si>
    <t>00120576940</t>
  </si>
  <si>
    <t>00240391</t>
  </si>
  <si>
    <t>CITY EXPRESS PLUS PATIO UNIVERSITARIO</t>
  </si>
  <si>
    <t xml:space="preserve"> 319</t>
  </si>
  <si>
    <t>GLZ03039425</t>
  </si>
  <si>
    <t>00120576964</t>
  </si>
  <si>
    <t>00240390</t>
  </si>
  <si>
    <t>CITY EXPRESS GUSTAVO BAZ</t>
  </si>
  <si>
    <t>GLZ03039426</t>
  </si>
  <si>
    <t>00120576993</t>
  </si>
  <si>
    <t>00240389</t>
  </si>
  <si>
    <t>CITY EXPRESS TAPACHULA</t>
  </si>
  <si>
    <t>GLZ03039427</t>
  </si>
  <si>
    <t>00120577017</t>
  </si>
  <si>
    <t>00240388</t>
  </si>
  <si>
    <t>NUEVO LAREDO, TAMPS.</t>
  </si>
  <si>
    <t>CRISTIAN SAUCEDO / HOTEL CITY EXPRESS NUEVO LAREDO</t>
  </si>
  <si>
    <t>GLZ03039429</t>
  </si>
  <si>
    <t>00120577054</t>
  </si>
  <si>
    <t>00240387</t>
  </si>
  <si>
    <t>VILLAHERMOSA, TAB.</t>
  </si>
  <si>
    <t>CITY EXPRESS VILLAHERMOSA</t>
  </si>
  <si>
    <t xml:space="preserve"> 330</t>
  </si>
  <si>
    <t>GLZ03041282</t>
  </si>
  <si>
    <t>00120641822</t>
  </si>
  <si>
    <t>00240508</t>
  </si>
  <si>
    <t>WYNDHAM GARDEN AGUASCALIENTES</t>
  </si>
  <si>
    <t>03/07/2026</t>
  </si>
  <si>
    <t>GLZ03041287</t>
  </si>
  <si>
    <t>00120641954</t>
  </si>
  <si>
    <t>00240499</t>
  </si>
  <si>
    <t>RIU SANTA FE / RICARDO AVINA</t>
  </si>
  <si>
    <t>GLZ03041290</t>
  </si>
  <si>
    <t>00120641986</t>
  </si>
  <si>
    <t>00240540</t>
  </si>
  <si>
    <t>HOLIDAY INN EXPRESS &amp; SUITES CHIHUAHUA JUVENTUD</t>
  </si>
  <si>
    <t>GLZ03041291</t>
  </si>
  <si>
    <t>00120642008</t>
  </si>
  <si>
    <t>00240539</t>
  </si>
  <si>
    <t>AVID TIJUANA OTAY</t>
  </si>
  <si>
    <t>GLZ03041292</t>
  </si>
  <si>
    <t>00120642046</t>
  </si>
  <si>
    <t>00240538</t>
  </si>
  <si>
    <t>CIUDAD OBREGON, SON</t>
  </si>
  <si>
    <t>HOLIDAY INN EXPRESS &amp; SUITES CIUDAD OBREGON</t>
  </si>
  <si>
    <t>CD. OBREGON, SON.</t>
  </si>
  <si>
    <t>GLZ03041294</t>
  </si>
  <si>
    <t>00120642082</t>
  </si>
  <si>
    <t>00240512</t>
  </si>
  <si>
    <t>MIGUEL HIDALGO</t>
  </si>
  <si>
    <t>PRESIDENTE INTERCONTINENTAL POLANCO</t>
  </si>
  <si>
    <t>GLZ03041297</t>
  </si>
  <si>
    <t>00120642167</t>
  </si>
  <si>
    <t>00240518</t>
  </si>
  <si>
    <t>HILTON QUERETARO MEXICO</t>
  </si>
  <si>
    <t>GLZ03041301</t>
  </si>
  <si>
    <t>00120642217</t>
  </si>
  <si>
    <t>00240514</t>
  </si>
  <si>
    <t>FIESTA INN CIUDAD JUAREZ</t>
  </si>
  <si>
    <t>GLZ03041302</t>
  </si>
  <si>
    <t>00120642265</t>
  </si>
  <si>
    <t>00240510</t>
  </si>
  <si>
    <t>HOLIDAY INN CIUDAD JUAREZ</t>
  </si>
  <si>
    <t>GLZ03041305</t>
  </si>
  <si>
    <t>00120642319</t>
  </si>
  <si>
    <t>00240476</t>
  </si>
  <si>
    <t>XALAPA, VER.</t>
  </si>
  <si>
    <t>CITY EXPRESS XALAPA</t>
  </si>
  <si>
    <t>JALAPA, VER.</t>
  </si>
  <si>
    <t>GLZ03041308</t>
  </si>
  <si>
    <t>00120642395</t>
  </si>
  <si>
    <t>00240545</t>
  </si>
  <si>
    <t>CITY JUNIOR SAN LUIS ZONA INDUSTRIAL</t>
  </si>
  <si>
    <t>GLZ03041311</t>
  </si>
  <si>
    <t>00120642504</t>
  </si>
  <si>
    <t>00240532</t>
  </si>
  <si>
    <t>SALAMANCA, GTO.</t>
  </si>
  <si>
    <t>HAMPTON INN SALAMANCA</t>
  </si>
  <si>
    <t>IRAPUATO, GTO.</t>
  </si>
  <si>
    <t>GLZ03041313</t>
  </si>
  <si>
    <t>00120642581</t>
  </si>
  <si>
    <t>00240519</t>
  </si>
  <si>
    <t>SAN ANDRES CHOLULA, PUEBLA</t>
  </si>
  <si>
    <t>HILTON GARDEN INN PUEBLA ANGELOPOLIS</t>
  </si>
  <si>
    <t>GLZ03041316</t>
  </si>
  <si>
    <t>00120642689</t>
  </si>
  <si>
    <t>00240490</t>
  </si>
  <si>
    <t>HAMPTON INN QUERETARO JURIQUILLA</t>
  </si>
  <si>
    <t>GLZ03041317</t>
  </si>
  <si>
    <t>00120642758</t>
  </si>
  <si>
    <t>00240484</t>
  </si>
  <si>
    <t xml:space="preserve"> 374</t>
  </si>
  <si>
    <t>GLZ03041321</t>
  </si>
  <si>
    <t>00120642890</t>
  </si>
  <si>
    <t>00240544</t>
  </si>
  <si>
    <t>CITY JUNIOR CENTRO DE CONVENCIONES</t>
  </si>
  <si>
    <t>GLZ03041324</t>
  </si>
  <si>
    <t>00120642956</t>
  </si>
  <si>
    <t>00240513</t>
  </si>
  <si>
    <t>GAMMA IXTAPA</t>
  </si>
  <si>
    <t>GLZ03041326</t>
  </si>
  <si>
    <t>00120643012</t>
  </si>
  <si>
    <t>00240536</t>
  </si>
  <si>
    <t>CELAYA, GTO.</t>
  </si>
  <si>
    <t>CASA INN BUSINESS HOTEL CELAYA GALERIAS</t>
  </si>
  <si>
    <t>GLZ03041329</t>
  </si>
  <si>
    <t>00120643059</t>
  </si>
  <si>
    <t>00240543</t>
  </si>
  <si>
    <t>CITY EXPRESS JUNIOR VILLAHERMOSA CJVSA</t>
  </si>
  <si>
    <t>GLZ03041332</t>
  </si>
  <si>
    <t>00120643118</t>
  </si>
  <si>
    <t>00240542</t>
  </si>
  <si>
    <t>CITY EXPRESS QUERETARO</t>
  </si>
  <si>
    <t xml:space="preserve"> 231</t>
  </si>
  <si>
    <t>GLZ03041335</t>
  </si>
  <si>
    <t>00120643169</t>
  </si>
  <si>
    <t>00240483</t>
  </si>
  <si>
    <t>ONE MONCLOVA</t>
  </si>
  <si>
    <t>GLZ03041336</t>
  </si>
  <si>
    <t>00120643196</t>
  </si>
  <si>
    <t>00240493</t>
  </si>
  <si>
    <t>FIESTA INN INSURGENTES VIADUCTO</t>
  </si>
  <si>
    <t>GLZ03041353</t>
  </si>
  <si>
    <t>00120644041</t>
  </si>
  <si>
    <t>240494-240501</t>
  </si>
  <si>
    <t>00240494</t>
  </si>
  <si>
    <t>FIESTA INN VERACRUZ MALECON</t>
  </si>
  <si>
    <t>GLZ03041354</t>
  </si>
  <si>
    <t>00120644087</t>
  </si>
  <si>
    <t>00240496</t>
  </si>
  <si>
    <t>GLZ03041355</t>
  </si>
  <si>
    <t>00120644125</t>
  </si>
  <si>
    <t>00240498</t>
  </si>
  <si>
    <t>GLZ03041356</t>
  </si>
  <si>
    <t>00120644176</t>
  </si>
  <si>
    <t>00240489</t>
  </si>
  <si>
    <t>GUANAJUATO, GTO.</t>
  </si>
  <si>
    <t>CAMINO REAL GUANAJUATO EX HACIENDA SAN XAVIER</t>
  </si>
  <si>
    <t>GLZ03041357</t>
  </si>
  <si>
    <t>00120644273</t>
  </si>
  <si>
    <t>00240477</t>
  </si>
  <si>
    <t>DOUBLETREE TOLUCA</t>
  </si>
  <si>
    <t>GLZ03041359</t>
  </si>
  <si>
    <t>00120644351</t>
  </si>
  <si>
    <t>00240465</t>
  </si>
  <si>
    <t>PRESIDENTE INTERCONTINENTAL MIYANA</t>
  </si>
  <si>
    <t xml:space="preserve"> 275</t>
  </si>
  <si>
    <t>GLZ03041360</t>
  </si>
  <si>
    <t>00120644372</t>
  </si>
  <si>
    <t>00240473</t>
  </si>
  <si>
    <t>ZACATECAS, ZAC.</t>
  </si>
  <si>
    <t>HAMPTON INN BY HILTON ZACATECAS</t>
  </si>
  <si>
    <t>GLZ03041361</t>
  </si>
  <si>
    <t>00120644398</t>
  </si>
  <si>
    <t>00240487</t>
  </si>
  <si>
    <t>RADISSON HOTEL PUEBLA ANGELOPOLIS</t>
  </si>
  <si>
    <t>GLZ03041362</t>
  </si>
  <si>
    <t>00120644435</t>
  </si>
  <si>
    <t>00240486</t>
  </si>
  <si>
    <t>FIESTA INN AEROPUERTO</t>
  </si>
  <si>
    <t>GLZ03041365</t>
  </si>
  <si>
    <t>00120644478</t>
  </si>
  <si>
    <t>00240474</t>
  </si>
  <si>
    <t>SAN JUAN DEL RIO, QRO.</t>
  </si>
  <si>
    <t>HAMPTON INN SAN JUAN DEL RIO</t>
  </si>
  <si>
    <t>GLZ03041369</t>
  </si>
  <si>
    <t>00120644590</t>
  </si>
  <si>
    <t>240463-240464</t>
  </si>
  <si>
    <t>00240463</t>
  </si>
  <si>
    <t>COMFORT INN CORDOBA</t>
  </si>
  <si>
    <t>GLZ03041371</t>
  </si>
  <si>
    <t>00120644708</t>
  </si>
  <si>
    <t>00240480</t>
  </si>
  <si>
    <t>FAIRFIELD MARRIOTT LOS CABOS</t>
  </si>
  <si>
    <t>GLZ03041373</t>
  </si>
  <si>
    <t>00120644738</t>
  </si>
  <si>
    <t>00240479</t>
  </si>
  <si>
    <t>MAZATLAN, SIN.</t>
  </si>
  <si>
    <t>GARNER BY IHG</t>
  </si>
  <si>
    <t>GLZ03041374</t>
  </si>
  <si>
    <t>00120644778</t>
  </si>
  <si>
    <t>00240469</t>
  </si>
  <si>
    <t>HOLIDAY INN EXPRESS SAN LUIS POTOSI</t>
  </si>
  <si>
    <t>GLZ03041375</t>
  </si>
  <si>
    <t>00120644885</t>
  </si>
  <si>
    <t>00240481</t>
  </si>
  <si>
    <t>ALTAMIRA, TAMPS.</t>
  </si>
  <si>
    <t>HOLIDAY INN TAMPICO ALTAMIRA</t>
  </si>
  <si>
    <t>GLZ03041376</t>
  </si>
  <si>
    <t>00120644935</t>
  </si>
  <si>
    <t>00240475</t>
  </si>
  <si>
    <t>GLZ03041377</t>
  </si>
  <si>
    <t>00120644962</t>
  </si>
  <si>
    <t>00240530</t>
  </si>
  <si>
    <t>GUADALUPE, N.L.</t>
  </si>
  <si>
    <t>CITY EXPRESS MONTERREY LINDAVISTA</t>
  </si>
  <si>
    <t>GLZ03041578</t>
  </si>
  <si>
    <t>00120676449</t>
  </si>
  <si>
    <t>00240559</t>
  </si>
  <si>
    <t>EXTENDED SUITES MERIDA</t>
  </si>
  <si>
    <t>04/07/2026</t>
  </si>
  <si>
    <t>GLZ03041581</t>
  </si>
  <si>
    <t>00120676568</t>
  </si>
  <si>
    <t>00240556</t>
  </si>
  <si>
    <t>EXTENDED SUITES CIUDAD DEL CARMEN AEREOPUERTO</t>
  </si>
  <si>
    <t>GLZ03041583</t>
  </si>
  <si>
    <t>00120676609</t>
  </si>
  <si>
    <t>00240560</t>
  </si>
  <si>
    <t>EXTENDED SUITES CHIHUAHUA LA JUVENTUD</t>
  </si>
  <si>
    <t>GLZ03041588</t>
  </si>
  <si>
    <t>00120676679</t>
  </si>
  <si>
    <t>00240589</t>
  </si>
  <si>
    <t>HAMPTON INN CELAYA</t>
  </si>
  <si>
    <t>GLZ03041596</t>
  </si>
  <si>
    <t>00120676887</t>
  </si>
  <si>
    <t>00240558</t>
  </si>
  <si>
    <t>EXTENDED SUITES CIUDAD JUAREZ CONSULADO</t>
  </si>
  <si>
    <t>GLZ03041598</t>
  </si>
  <si>
    <t>00120676988</t>
  </si>
  <si>
    <t>240549-50-51</t>
  </si>
  <si>
    <t>00240549</t>
  </si>
  <si>
    <t>CHAPALA, JAL.</t>
  </si>
  <si>
    <t>SUITES SANTA ISABELLA</t>
  </si>
  <si>
    <t>GLZ03041662</t>
  </si>
  <si>
    <t>00120678714</t>
  </si>
  <si>
    <t>00240553</t>
  </si>
  <si>
    <t>COURTYARD BY MARRIOTT CIUDAD DEL CARMEN</t>
  </si>
  <si>
    <t>GLZ03041909</t>
  </si>
  <si>
    <t>00120685060</t>
  </si>
  <si>
    <t>00240495</t>
  </si>
  <si>
    <t>PUERTO VALLARTA, JAL.</t>
  </si>
  <si>
    <t>HILTON VALLARTA RIVIERA // PAKEAH SC</t>
  </si>
  <si>
    <t>GLZ03043718</t>
  </si>
  <si>
    <t>00120777816</t>
  </si>
  <si>
    <t>00218685</t>
  </si>
  <si>
    <t>BCO MISMALOYA S DE RL DE CV</t>
  </si>
  <si>
    <t>06/07/2026</t>
  </si>
  <si>
    <t xml:space="preserve"> 2000</t>
  </si>
  <si>
    <t>GLZ03043728</t>
  </si>
  <si>
    <t>00120777939</t>
  </si>
  <si>
    <t>00218712</t>
  </si>
  <si>
    <t>HOTEL BARCELO HUATULCO // BELEN SANCHEZ MARTINEZ</t>
  </si>
  <si>
    <t>GLZ03043733</t>
  </si>
  <si>
    <t>00120778000</t>
  </si>
  <si>
    <t>00218699</t>
  </si>
  <si>
    <t>SAN PEDRO GARZA GARCIA, NL.</t>
  </si>
  <si>
    <t>HOTEL CAMINO REAL MONTERREY</t>
  </si>
  <si>
    <t>GLZ03043752</t>
  </si>
  <si>
    <t>00120778151</t>
  </si>
  <si>
    <t>00218758</t>
  </si>
  <si>
    <t>NUEVO VALLARTA, NAY</t>
  </si>
  <si>
    <t>BARCELO OCCIDENTAL GRAND NUEVO VALLARTA</t>
  </si>
  <si>
    <t xml:space="preserve"> 1000</t>
  </si>
  <si>
    <t>GLZ03043759</t>
  </si>
  <si>
    <t>00120778217</t>
  </si>
  <si>
    <t>00218594</t>
  </si>
  <si>
    <t>BARCELO KARMINA PALACE DELUXE MANZANILLO</t>
  </si>
  <si>
    <t>GLZ03043768</t>
  </si>
  <si>
    <t>00120778310</t>
  </si>
  <si>
    <t>JYP-147
ATN FAVIOLA JARAMILLO</t>
  </si>
  <si>
    <t>00000147</t>
  </si>
  <si>
    <t>SALTILLO, COAH.</t>
  </si>
  <si>
    <t>HOTEL VOCO</t>
  </si>
  <si>
    <t>GLZ03043776</t>
  </si>
  <si>
    <t>00120778384</t>
  </si>
  <si>
    <t>00218676</t>
  </si>
  <si>
    <t>BARCELO MEXICO REFORMA</t>
  </si>
  <si>
    <t>GLZ03043794</t>
  </si>
  <si>
    <t>00120778576</t>
  </si>
  <si>
    <t>00240599</t>
  </si>
  <si>
    <t>WYNDHAM GARDEN AEROPUERTO</t>
  </si>
  <si>
    <t>GLZ03043805</t>
  </si>
  <si>
    <t>00120778693</t>
  </si>
  <si>
    <t>00240601</t>
  </si>
  <si>
    <t>HAMPTON INN MONTERREY &amp; SUITES AEROPUERTO</t>
  </si>
  <si>
    <t>GLZ03043808</t>
  </si>
  <si>
    <t>00120778749</t>
  </si>
  <si>
    <t>00240606</t>
  </si>
  <si>
    <t>COUTYARD MARRIOT HERMOSILLO</t>
  </si>
  <si>
    <t>GLZ03043811</t>
  </si>
  <si>
    <t>00120778783</t>
  </si>
  <si>
    <t>00240609</t>
  </si>
  <si>
    <t>EMPORIO IXTAPA</t>
  </si>
  <si>
    <t>GLZ03043813</t>
  </si>
  <si>
    <t>00120778821</t>
  </si>
  <si>
    <t>00240610</t>
  </si>
  <si>
    <t>HAMPTON VILLAHERMOSA</t>
  </si>
  <si>
    <t>GLZ03043819</t>
  </si>
  <si>
    <t>00120778894</t>
  </si>
  <si>
    <t>00240620</t>
  </si>
  <si>
    <t>PUERTO ESCONDIDO, OAX.</t>
  </si>
  <si>
    <t>HOTEL ALDEA DEL BAZAR SPA BACOCHO</t>
  </si>
  <si>
    <t>GLZ03043826</t>
  </si>
  <si>
    <t>00120778946</t>
  </si>
  <si>
    <t>00240628</t>
  </si>
  <si>
    <t>SAN JOSE DEL CABO, BCS.</t>
  </si>
  <si>
    <t>CABO AZUL RESORT (HILTON GRAND VACATIONS)</t>
  </si>
  <si>
    <t xml:space="preserve"> 297</t>
  </si>
  <si>
    <t>GLZ03043834</t>
  </si>
  <si>
    <t>00120779038</t>
  </si>
  <si>
    <t>00240632</t>
  </si>
  <si>
    <t>CANDLEWOOD SUITES CELAYA</t>
  </si>
  <si>
    <t>GLZ03043838</t>
  </si>
  <si>
    <t>00120779128</t>
  </si>
  <si>
    <t>00240634</t>
  </si>
  <si>
    <t>STAYBRIDGE SALTILLO</t>
  </si>
  <si>
    <t>GLZ03043843</t>
  </si>
  <si>
    <t>00120779161</t>
  </si>
  <si>
    <t>00240635</t>
  </si>
  <si>
    <t>PIEDRAS NEGRAS, COAH.</t>
  </si>
  <si>
    <t>HAMPTON PIEDRAS NEGRAS MEXICO</t>
  </si>
  <si>
    <t>GLZ03043846</t>
  </si>
  <si>
    <t>00120779191</t>
  </si>
  <si>
    <t>00240564</t>
  </si>
  <si>
    <t>FAIRFIELD MEXICALI</t>
  </si>
  <si>
    <t>GLZ03043867</t>
  </si>
  <si>
    <t>00120780080</t>
  </si>
  <si>
    <t>00240615</t>
  </si>
  <si>
    <t>FIESTA INN LOS MOCHIS</t>
  </si>
  <si>
    <t>GLZ03045573</t>
  </si>
  <si>
    <t>00120837266</t>
  </si>
  <si>
    <t>00240702</t>
  </si>
  <si>
    <t>CITY PLUS CABO SAN LUCAS  (CECSL)</t>
  </si>
  <si>
    <t>07/07/2026</t>
  </si>
  <si>
    <t xml:space="preserve"> 429</t>
  </si>
  <si>
    <t>GLZ03045582</t>
  </si>
  <si>
    <t>00120837328</t>
  </si>
  <si>
    <t>00240701</t>
  </si>
  <si>
    <t>CITY EXPRESS ALTAMIRA</t>
  </si>
  <si>
    <t>GLZ03045587</t>
  </si>
  <si>
    <t>00120837394</t>
  </si>
  <si>
    <t>00240706</t>
  </si>
  <si>
    <t>GLZ03045593</t>
  </si>
  <si>
    <t>00120837472</t>
  </si>
  <si>
    <t>00240703</t>
  </si>
  <si>
    <t>GLZ03045597</t>
  </si>
  <si>
    <t>00120837535</t>
  </si>
  <si>
    <t>00240708</t>
  </si>
  <si>
    <t>CITY EXPRESS NORPONIENTE CELAYA</t>
  </si>
  <si>
    <t>GLZ03045600</t>
  </si>
  <si>
    <t>00120837626</t>
  </si>
  <si>
    <t>00240709</t>
  </si>
  <si>
    <t>TEPIC, NAY.</t>
  </si>
  <si>
    <t>CITY EXPRESS TEPIC</t>
  </si>
  <si>
    <t>TEPIC, NAYARIT.</t>
  </si>
  <si>
    <t>GLZ03045606</t>
  </si>
  <si>
    <t>00120837690</t>
  </si>
  <si>
    <t>00240705</t>
  </si>
  <si>
    <t>CHN MONTERREY AEROPUERTO</t>
  </si>
  <si>
    <t xml:space="preserve"> 286</t>
  </si>
  <si>
    <t>GLZ03045614</t>
  </si>
  <si>
    <t>00120837749</t>
  </si>
  <si>
    <t>00240704</t>
  </si>
  <si>
    <t>TAMPICO, TAMPS.</t>
  </si>
  <si>
    <t>CITY EXPRESS TAMPICO</t>
  </si>
  <si>
    <t>GLZ03045629</t>
  </si>
  <si>
    <t>00120837948</t>
  </si>
  <si>
    <t>00240700</t>
  </si>
  <si>
    <t>ONE SALINA CRUZ</t>
  </si>
  <si>
    <t>GLZ03045634</t>
  </si>
  <si>
    <t>00120838016</t>
  </si>
  <si>
    <t>00240698</t>
  </si>
  <si>
    <t>HOLIDAY INN EXPRESS &amp; SUITES TIJUANA OTAY</t>
  </si>
  <si>
    <t>GLZ03045664</t>
  </si>
  <si>
    <t>00120838307</t>
  </si>
  <si>
    <t>00240692</t>
  </si>
  <si>
    <t>CITY EXPRESS MERIDA</t>
  </si>
  <si>
    <t>GLZ03045671</t>
  </si>
  <si>
    <t>00120838397</t>
  </si>
  <si>
    <t>00240689</t>
  </si>
  <si>
    <t>TEPOTZOTLAN, EMEX.</t>
  </si>
  <si>
    <t>CITY EXPRESS TEPOTZOTLAN</t>
  </si>
  <si>
    <t>GLZ03045681</t>
  </si>
  <si>
    <t>00120838502</t>
  </si>
  <si>
    <t>00240676</t>
  </si>
  <si>
    <t>RADISSON SAN LUIS POTOSI AEROPUERTO</t>
  </si>
  <si>
    <t>GLZ03045685</t>
  </si>
  <si>
    <t>00120838525</t>
  </si>
  <si>
    <t>00240649</t>
  </si>
  <si>
    <t>CULIACAN, SIN.</t>
  </si>
  <si>
    <t>HOTEL LUCERNA CULIACAN</t>
  </si>
  <si>
    <t>GLZ03045689</t>
  </si>
  <si>
    <t>00120838591</t>
  </si>
  <si>
    <t>00240666</t>
  </si>
  <si>
    <t>HOLIDAY INN EXPRESS &amp; SUITES JUAREZ</t>
  </si>
  <si>
    <t>GLZ03045690</t>
  </si>
  <si>
    <t>00120838601</t>
  </si>
  <si>
    <t>00240677</t>
  </si>
  <si>
    <t>MORELIA, MICH.</t>
  </si>
  <si>
    <t>HOLIDAY INN EXPRESS MORELIA</t>
  </si>
  <si>
    <t>GLZ03045695</t>
  </si>
  <si>
    <t>00120838667</t>
  </si>
  <si>
    <t>00240682</t>
  </si>
  <si>
    <t>OAXACA, OAX.</t>
  </si>
  <si>
    <t>HOLIDAY INN EXPRESS OAXACA CENTRO HISTORICO</t>
  </si>
  <si>
    <t>GLZ03045696</t>
  </si>
  <si>
    <t>00120838674</t>
  </si>
  <si>
    <t>00240664</t>
  </si>
  <si>
    <t>CITY EXPRESS CELAYA GALERIAS</t>
  </si>
  <si>
    <t>GLZ03045702</t>
  </si>
  <si>
    <t>00120838768</t>
  </si>
  <si>
    <t>00240663</t>
  </si>
  <si>
    <t>FIESTA INN MEXICO CENTRO HISTORICO</t>
  </si>
  <si>
    <t>GLZ03045704</t>
  </si>
  <si>
    <t>00120838793</t>
  </si>
  <si>
    <t>240729-240751</t>
  </si>
  <si>
    <t>00240729</t>
  </si>
  <si>
    <t>ROLANDO BARRIOS</t>
  </si>
  <si>
    <t>GLZ03045708</t>
  </si>
  <si>
    <t>00120838846</t>
  </si>
  <si>
    <t>00240657</t>
  </si>
  <si>
    <t>SAN PEDRO CHOLULA, PUEBLA.</t>
  </si>
  <si>
    <t>FIESTA INN EXPRESS EXPLANADA PUEBLA</t>
  </si>
  <si>
    <t>GLZ03045714</t>
  </si>
  <si>
    <t>00120838902</t>
  </si>
  <si>
    <t>00240656</t>
  </si>
  <si>
    <t>CITY CENTRO SAN LUIS POTOSI</t>
  </si>
  <si>
    <t>GLZ03045729</t>
  </si>
  <si>
    <t>00120839078</t>
  </si>
  <si>
    <t>JYP-149
ATN ANETTE RIOS CORDINADORA</t>
  </si>
  <si>
    <t>TEL 229-989-0505- 
EXT 8404</t>
  </si>
  <si>
    <t>00000149</t>
  </si>
  <si>
    <t>HOTEL GALERIA PLAZA VERACRUZ</t>
  </si>
  <si>
    <t>GLZ03045742</t>
  </si>
  <si>
    <t>00120839123</t>
  </si>
  <si>
    <t>00240650</t>
  </si>
  <si>
    <t>HOTEL LUCERNA ENSENADA</t>
  </si>
  <si>
    <t>GLZ03045743</t>
  </si>
  <si>
    <t>00120839125</t>
  </si>
  <si>
    <t>00240611</t>
  </si>
  <si>
    <t>MARIANA AGUILAR</t>
  </si>
  <si>
    <t>GLZ03045749</t>
  </si>
  <si>
    <t>00120839196</t>
  </si>
  <si>
    <t>00240714</t>
  </si>
  <si>
    <t>INSUMOS DEL NORTE</t>
  </si>
  <si>
    <t xml:space="preserve"> 88</t>
  </si>
  <si>
    <t>GLZ03045752</t>
  </si>
  <si>
    <t>00120839242</t>
  </si>
  <si>
    <t>00240710</t>
  </si>
  <si>
    <t>CITY EXPRESS PLUS PUERTO VALLARTA</t>
  </si>
  <si>
    <t>GLZ03045755</t>
  </si>
  <si>
    <t>00120839275</t>
  </si>
  <si>
    <t>00240711</t>
  </si>
  <si>
    <t>CITY EXPRESS PLUS MEXICALI</t>
  </si>
  <si>
    <t>GLZ03045757</t>
  </si>
  <si>
    <t>00120839307</t>
  </si>
  <si>
    <t>00240686</t>
  </si>
  <si>
    <t>GLZ03045939</t>
  </si>
  <si>
    <t>00120841770</t>
  </si>
  <si>
    <t>00240697</t>
  </si>
  <si>
    <t>CITY EXPRESS AEROPUERTO CIUDAD DE MEXICO</t>
  </si>
  <si>
    <t>GLZ03047795</t>
  </si>
  <si>
    <t>00120901919</t>
  </si>
  <si>
    <t>240813
 1 TAR C/63 C</t>
  </si>
  <si>
    <t>00240813</t>
  </si>
  <si>
    <t>MG COMERCIALIZADORA</t>
  </si>
  <si>
    <t>GLZ03047797</t>
  </si>
  <si>
    <t>00120901955</t>
  </si>
  <si>
    <t>00240793</t>
  </si>
  <si>
    <t>ENCORE QUERETARO</t>
  </si>
  <si>
    <t>GLZ03047802</t>
  </si>
  <si>
    <t>00120902007</t>
  </si>
  <si>
    <t>00240724</t>
  </si>
  <si>
    <t>CITY EXPRESS PIEDRAS NEGRAS</t>
  </si>
  <si>
    <t>GLZ03047806</t>
  </si>
  <si>
    <t>00120902073</t>
  </si>
  <si>
    <t>00240788</t>
  </si>
  <si>
    <t>GLZ03047809</t>
  </si>
  <si>
    <t>00120902112</t>
  </si>
  <si>
    <t>00240786</t>
  </si>
  <si>
    <t>HOTELES SAN MARCOS</t>
  </si>
  <si>
    <t>GLZ03047822</t>
  </si>
  <si>
    <t>00120902290</t>
  </si>
  <si>
    <t>240784-240785</t>
  </si>
  <si>
    <t>00240784</t>
  </si>
  <si>
    <t>HOTEL FIESTA AMERICANA REFORMA</t>
  </si>
  <si>
    <t>GLZ03047830</t>
  </si>
  <si>
    <t>00120902343</t>
  </si>
  <si>
    <t>00240783</t>
  </si>
  <si>
    <t>PRODUCTOS DE LIMPIEZA DEL VALLE</t>
  </si>
  <si>
    <t>GLZ03047835</t>
  </si>
  <si>
    <t>00120902410</t>
  </si>
  <si>
    <t>00240782</t>
  </si>
  <si>
    <t>HOTEL STAYBRIDGE SUITES MONTERREY</t>
  </si>
  <si>
    <t>GLZ03047841</t>
  </si>
  <si>
    <t>00120902443</t>
  </si>
  <si>
    <t>00240781</t>
  </si>
  <si>
    <t>HILTON MEXICO CITY REFORMA</t>
  </si>
  <si>
    <t xml:space="preserve"> 341</t>
  </si>
  <si>
    <t>GLZ03047857</t>
  </si>
  <si>
    <t>00120902600</t>
  </si>
  <si>
    <t>240779-240780</t>
  </si>
  <si>
    <t>00240779</t>
  </si>
  <si>
    <t>ALVARO OBREGON CDMX</t>
  </si>
  <si>
    <t>DOUBLETREE BY HILTON MEXICO CITY SANTA FE</t>
  </si>
  <si>
    <t>GLZ03047862</t>
  </si>
  <si>
    <t>00120902653</t>
  </si>
  <si>
    <t>00240778</t>
  </si>
  <si>
    <t>HOTEL FIESTA AMERICANA MERIDA</t>
  </si>
  <si>
    <t>GLZ03047866</t>
  </si>
  <si>
    <t>00120902700</t>
  </si>
  <si>
    <t>00240777</t>
  </si>
  <si>
    <t>GLZ03047870</t>
  </si>
  <si>
    <t>00120902729</t>
  </si>
  <si>
    <t>00240775</t>
  </si>
  <si>
    <t>HOTEL COURTYARD SALTILLO</t>
  </si>
  <si>
    <t>GLZ03047876</t>
  </si>
  <si>
    <t>00120902785</t>
  </si>
  <si>
    <t>00240773</t>
  </si>
  <si>
    <t>COURTYARD MARRIOTT MEXICALI</t>
  </si>
  <si>
    <t>GLZ03047896</t>
  </si>
  <si>
    <t>00120902969</t>
  </si>
  <si>
    <t>240728-240800</t>
  </si>
  <si>
    <t>00240728</t>
  </si>
  <si>
    <t>GLZ03047902</t>
  </si>
  <si>
    <t>00120903026</t>
  </si>
  <si>
    <t>00240769</t>
  </si>
  <si>
    <t>CUAJIMALPA, CDMX.</t>
  </si>
  <si>
    <t>CITY EXPRESS PLUS SANTA FE</t>
  </si>
  <si>
    <t>GLZ03047906</t>
  </si>
  <si>
    <t>00120903080</t>
  </si>
  <si>
    <t>00240768</t>
  </si>
  <si>
    <t>CITY EXPRESS IRAPUATO</t>
  </si>
  <si>
    <t>GLZ03047914</t>
  </si>
  <si>
    <t>00120903148</t>
  </si>
  <si>
    <t>00240767</t>
  </si>
  <si>
    <t>CITY JUNIOR SULLIVAN</t>
  </si>
  <si>
    <t>GLZ03047921</t>
  </si>
  <si>
    <t>00120903200</t>
  </si>
  <si>
    <t>00240766</t>
  </si>
  <si>
    <t>NOGALES, SON.</t>
  </si>
  <si>
    <t>CITY EXPRESS NOGALES</t>
  </si>
  <si>
    <t>GLZ03047923</t>
  </si>
  <si>
    <t>00120903264</t>
  </si>
  <si>
    <t>00240765</t>
  </si>
  <si>
    <t>CITY EXPRESS HERMOSILLO EXPO</t>
  </si>
  <si>
    <t>GLZ03047929</t>
  </si>
  <si>
    <t>00120903306</t>
  </si>
  <si>
    <t>00240763</t>
  </si>
  <si>
    <t>LERMA, EDO. DE MEX.</t>
  </si>
  <si>
    <t>CITY EXPRESS TOLUCA</t>
  </si>
  <si>
    <t xml:space="preserve"> 352</t>
  </si>
  <si>
    <t>GLZ03047936</t>
  </si>
  <si>
    <t>00120903377</t>
  </si>
  <si>
    <t>00240762</t>
  </si>
  <si>
    <t>CITY JUNIOR SAN LUIS POTOSI CARRANZA</t>
  </si>
  <si>
    <t>GLZ03047940</t>
  </si>
  <si>
    <t>00120903417</t>
  </si>
  <si>
    <t>00240761</t>
  </si>
  <si>
    <t>CITY EXPRESS MEXICALI</t>
  </si>
  <si>
    <t>GLZ03047944</t>
  </si>
  <si>
    <t>00120903475</t>
  </si>
  <si>
    <t>00240760</t>
  </si>
  <si>
    <t>CITY EXPRESS PLUS REFORMA EL ANGEL</t>
  </si>
  <si>
    <t>GLZ03047951</t>
  </si>
  <si>
    <t>00120903514</t>
  </si>
  <si>
    <t>00240758</t>
  </si>
  <si>
    <t>CITY EXPRESS LAZARO CARDENAS</t>
  </si>
  <si>
    <t>GLZ03047956</t>
  </si>
  <si>
    <t>00120903558</t>
  </si>
  <si>
    <t>00240757</t>
  </si>
  <si>
    <t>COMITAN DE DOMINGUEZ, CHIPS.</t>
  </si>
  <si>
    <t>CITY EXPRESS COMITAN</t>
  </si>
  <si>
    <t>SAN CRISTOBAL DE LAS CASAS, CHIPS.</t>
  </si>
  <si>
    <t>GLZ03047966</t>
  </si>
  <si>
    <t>00120903650</t>
  </si>
  <si>
    <t>00240756</t>
  </si>
  <si>
    <t>CITY EXPRESS PLUS ENSENADA</t>
  </si>
  <si>
    <t>GLZ03047969</t>
  </si>
  <si>
    <t>00120903691</t>
  </si>
  <si>
    <t>00240753</t>
  </si>
  <si>
    <t>CITY SUITES TIJUANA RIO</t>
  </si>
  <si>
    <t>GLZ03047976</t>
  </si>
  <si>
    <t>00120903741</t>
  </si>
  <si>
    <t>00240752</t>
  </si>
  <si>
    <t>GUSTAVO A. MADERO CDMX</t>
  </si>
  <si>
    <t>CITY EXPRESS LA VILLA</t>
  </si>
  <si>
    <t>GLZ03047979</t>
  </si>
  <si>
    <t>00120903783</t>
  </si>
  <si>
    <t>00240747</t>
  </si>
  <si>
    <t>STAYBRIDGE SUITES CHIHUAHUA</t>
  </si>
  <si>
    <t>GLZ03047983</t>
  </si>
  <si>
    <t>00120903812</t>
  </si>
  <si>
    <t>00240744</t>
  </si>
  <si>
    <t>HAMPTON INN BY SILAO AEROPUERTO</t>
  </si>
  <si>
    <t>GLZ03047987</t>
  </si>
  <si>
    <t>00120903861</t>
  </si>
  <si>
    <t>00240743</t>
  </si>
  <si>
    <t>CITY EXPRESS HERMOSILLO</t>
  </si>
  <si>
    <t>GLZ03047994</t>
  </si>
  <si>
    <t>00120903893</t>
  </si>
  <si>
    <t>00240742</t>
  </si>
  <si>
    <t>CITY EXPRESS IRAPUATO NORTE</t>
  </si>
  <si>
    <t>GLZ03048000</t>
  </si>
  <si>
    <t>00120903959</t>
  </si>
  <si>
    <t>00240740</t>
  </si>
  <si>
    <t>CAMPECHE, CAMP.</t>
  </si>
  <si>
    <t>CITY EXPRESS CAMPECHE</t>
  </si>
  <si>
    <t>GLZ03048011</t>
  </si>
  <si>
    <t>00120904045</t>
  </si>
  <si>
    <t>00240739</t>
  </si>
  <si>
    <t>CITY EXPRESS LEON</t>
  </si>
  <si>
    <t>GLZ03048016</t>
  </si>
  <si>
    <t>00120904079</t>
  </si>
  <si>
    <t>00240737</t>
  </si>
  <si>
    <t>CITY EXPRESS SALTILLO NORTE</t>
  </si>
  <si>
    <t xml:space="preserve"> 264</t>
  </si>
  <si>
    <t>GLZ03048018</t>
  </si>
  <si>
    <t>00120904114</t>
  </si>
  <si>
    <t>00240736</t>
  </si>
  <si>
    <t>GLZ03048020</t>
  </si>
  <si>
    <t>00120904137</t>
  </si>
  <si>
    <t>º</t>
  </si>
  <si>
    <t>240735ºº</t>
  </si>
  <si>
    <t>00240735</t>
  </si>
  <si>
    <t>CITY JUNIOR CIUDAD DEL CARMEN AEROPUERTO</t>
  </si>
  <si>
    <t>GLZ03048023</t>
  </si>
  <si>
    <t>00120904168</t>
  </si>
  <si>
    <t>00240733</t>
  </si>
  <si>
    <t>CITY EXPRESS CULIACAN</t>
  </si>
  <si>
    <t>GLZ03048025</t>
  </si>
  <si>
    <t>00120904251</t>
  </si>
  <si>
    <t>00240732</t>
  </si>
  <si>
    <t>CITY EXPRESS PLUS MERIDA (CPMID) / CPMER)</t>
  </si>
  <si>
    <t>GLZ03048027</t>
  </si>
  <si>
    <t>00120904286</t>
  </si>
  <si>
    <t>00240731</t>
  </si>
  <si>
    <t>CITY EXPRESS PLUS EBC REFORMA</t>
  </si>
  <si>
    <t>GLZ03048030</t>
  </si>
  <si>
    <t>00120904322</t>
  </si>
  <si>
    <t>00240727</t>
  </si>
  <si>
    <t>STAYBRIDGE SUITES QUERETARO</t>
  </si>
  <si>
    <t>GLZ03048031</t>
  </si>
  <si>
    <t>00120904354</t>
  </si>
  <si>
    <t>00240726</t>
  </si>
  <si>
    <t>GLZ03048032</t>
  </si>
  <si>
    <t>00120904404</t>
  </si>
  <si>
    <t>00240725</t>
  </si>
  <si>
    <t>CITY EXPRESS QUERETARO JURICA</t>
  </si>
  <si>
    <t>GLZ03048033</t>
  </si>
  <si>
    <t>00120904465</t>
  </si>
  <si>
    <t>00240723</t>
  </si>
  <si>
    <t>HOLIDAY INN EXPRESS &amp; SUITES CELAYA</t>
  </si>
  <si>
    <t>GLZ03048035</t>
  </si>
  <si>
    <t>00120904514</t>
  </si>
  <si>
    <t>00240722</t>
  </si>
  <si>
    <t>GLZ03048036</t>
  </si>
  <si>
    <t>00120904552</t>
  </si>
  <si>
    <t>00240720</t>
  </si>
  <si>
    <t>HOLIDAY INN VITA TIJUANA ZONA RIO</t>
  </si>
  <si>
    <t>GLZ03048037</t>
  </si>
  <si>
    <t>00120904593</t>
  </si>
  <si>
    <t>00240716</t>
  </si>
  <si>
    <t>CITY EXPRESS OAXACA</t>
  </si>
  <si>
    <t>GLZ03048233</t>
  </si>
  <si>
    <t>00120927567</t>
  </si>
  <si>
    <t>00240741</t>
  </si>
  <si>
    <t>GARDEN INN MONTERREY AEROPUERTO//MIRNA GARCIA HDEZ</t>
  </si>
  <si>
    <t>09/07/2026</t>
  </si>
  <si>
    <t>GLZ03049805</t>
  </si>
  <si>
    <t>00120960246</t>
  </si>
  <si>
    <t>240787-240789</t>
  </si>
  <si>
    <t>00240787</t>
  </si>
  <si>
    <t xml:space="preserve"> 4000</t>
  </si>
  <si>
    <t>GLZ03049807</t>
  </si>
  <si>
    <t>00120960293</t>
  </si>
  <si>
    <t>00240851</t>
  </si>
  <si>
    <t xml:space="preserve"> 308</t>
  </si>
  <si>
    <t>GLZ03049809</t>
  </si>
  <si>
    <t>00120960335</t>
  </si>
  <si>
    <t>00240849</t>
  </si>
  <si>
    <t>HOLIDAY INN ORIZABA</t>
  </si>
  <si>
    <t>GLZ03049811</t>
  </si>
  <si>
    <t>00120960371</t>
  </si>
  <si>
    <t>00240845</t>
  </si>
  <si>
    <t>SAN JUAN DE LOS LAGOS, JAL</t>
  </si>
  <si>
    <t>HOTEL SUITES AMD</t>
  </si>
  <si>
    <t>TEPATITLAN JAL.</t>
  </si>
  <si>
    <t>GLZ03049815</t>
  </si>
  <si>
    <t>00120960415</t>
  </si>
  <si>
    <t>00240840</t>
  </si>
  <si>
    <t>GLZ03049822</t>
  </si>
  <si>
    <t>00120960499</t>
  </si>
  <si>
    <t>00240839</t>
  </si>
  <si>
    <t>GLZ03049832</t>
  </si>
  <si>
    <t>00120960582</t>
  </si>
  <si>
    <t>240834-240835</t>
  </si>
  <si>
    <t>00240834</t>
  </si>
  <si>
    <t>QUALITY INN CIUDAD OBREGON</t>
  </si>
  <si>
    <t>GLZ03049836</t>
  </si>
  <si>
    <t>00120960624</t>
  </si>
  <si>
    <t>00240833</t>
  </si>
  <si>
    <t>RAMADA PLAZA LEON</t>
  </si>
  <si>
    <t>GLZ03049841</t>
  </si>
  <si>
    <t>00120960668</t>
  </si>
  <si>
    <t>00240830</t>
  </si>
  <si>
    <t>HAMPTON CIUDAD DEL CARMEN CAMPECHE</t>
  </si>
  <si>
    <t>GLZ03049845</t>
  </si>
  <si>
    <t>00120960754</t>
  </si>
  <si>
    <t>00240828</t>
  </si>
  <si>
    <t>HOTEL LOS GIRASOLES</t>
  </si>
  <si>
    <t>GLZ03049858</t>
  </si>
  <si>
    <t>00120960793</t>
  </si>
  <si>
    <t>00240825</t>
  </si>
  <si>
    <t>DOUBLETREE QUERETARO</t>
  </si>
  <si>
    <t>GLZ03049860</t>
  </si>
  <si>
    <t>00120960842</t>
  </si>
  <si>
    <t>00240824</t>
  </si>
  <si>
    <t>CITY PLUS LEON CENTRO DE CONVENCIONES</t>
  </si>
  <si>
    <t>GLZ03049869</t>
  </si>
  <si>
    <t>00120960933</t>
  </si>
  <si>
    <t>00240823</t>
  </si>
  <si>
    <t>CITY EXPRESS TIJUANA</t>
  </si>
  <si>
    <t>GLZ03049872</t>
  </si>
  <si>
    <t>00120960965</t>
  </si>
  <si>
    <t>00240821</t>
  </si>
  <si>
    <t>CITY SUITES ANZURES</t>
  </si>
  <si>
    <t>GLZ03049876</t>
  </si>
  <si>
    <t>00120961004</t>
  </si>
  <si>
    <t>00240820</t>
  </si>
  <si>
    <t>GLZ03049880</t>
  </si>
  <si>
    <t>00120961060</t>
  </si>
  <si>
    <t>00240804</t>
  </si>
  <si>
    <t>HOLIDAY INN EXPRESS AND SUITES TOLUCA ZONA AER FIDEICOMISO DB/1616</t>
  </si>
  <si>
    <t>GLZ03049885</t>
  </si>
  <si>
    <t>00120961104</t>
  </si>
  <si>
    <t>00240799</t>
  </si>
  <si>
    <t>CITY EXPRESS TLALPAN</t>
  </si>
  <si>
    <t>GLZ03049891</t>
  </si>
  <si>
    <t>00120961197</t>
  </si>
  <si>
    <t>00240798</t>
  </si>
  <si>
    <t>CITY EXPRESS ZACATECAS</t>
  </si>
  <si>
    <t>GLZ03049893</t>
  </si>
  <si>
    <t>00120961245</t>
  </si>
  <si>
    <t>00240797</t>
  </si>
  <si>
    <t>GLZ03051918</t>
  </si>
  <si>
    <t>00121021242</t>
  </si>
  <si>
    <t>00240887</t>
  </si>
  <si>
    <t>NAUCALPAN, EDO. MEX.</t>
  </si>
  <si>
    <t>HOLIDAY INN EXPRESS MEXICO TOREO</t>
  </si>
  <si>
    <t>GLZ03051923</t>
  </si>
  <si>
    <t>00121021274</t>
  </si>
  <si>
    <t>00240884</t>
  </si>
  <si>
    <t>HOLIDAY INN EXPRESS MANZANILLO</t>
  </si>
  <si>
    <t>GLZ03051925</t>
  </si>
  <si>
    <t>00121021312</t>
  </si>
  <si>
    <t>00240883</t>
  </si>
  <si>
    <t>CUERNAVACA, MOR.</t>
  </si>
  <si>
    <t>HOLIDAY INN EXPRESS &amp; SUITES CUERNAVACA</t>
  </si>
  <si>
    <t>GLZ03051932</t>
  </si>
  <si>
    <t>00121021388</t>
  </si>
  <si>
    <t>00240880</t>
  </si>
  <si>
    <t>GLZ03051937</t>
  </si>
  <si>
    <t>00121021421</t>
  </si>
  <si>
    <t>00240879</t>
  </si>
  <si>
    <t>HOLIDAY INN &amp; SUITES LEON</t>
  </si>
  <si>
    <t>GLZ03051942</t>
  </si>
  <si>
    <t>00121021451</t>
  </si>
  <si>
    <t>00240878</t>
  </si>
  <si>
    <t>HOLIDAY INN CIUDAD DEL CARMEN FULL SERVICE</t>
  </si>
  <si>
    <t>GLZ03051944</t>
  </si>
  <si>
    <t>00121021486</t>
  </si>
  <si>
    <t>00240873</t>
  </si>
  <si>
    <t>GLZ03051950</t>
  </si>
  <si>
    <t>00121021576</t>
  </si>
  <si>
    <t>00240872</t>
  </si>
  <si>
    <t>PARAISO,TAB</t>
  </si>
  <si>
    <t>HOLIDAY INN EXPRESS PARAISO DOS BOCAS</t>
  </si>
  <si>
    <t>CARDENAS, TAB.</t>
  </si>
  <si>
    <t>GLZ03051955</t>
  </si>
  <si>
    <t>00121021606</t>
  </si>
  <si>
    <t>00240869</t>
  </si>
  <si>
    <t>HOLIDAY INN EXPRESS MEXICO BASILICA</t>
  </si>
  <si>
    <t xml:space="preserve"> 616</t>
  </si>
  <si>
    <t>GLZ03051958</t>
  </si>
  <si>
    <t>00121021647</t>
  </si>
  <si>
    <t>00240868</t>
  </si>
  <si>
    <t>HOLIDAY INN EXPRESS NUEVO LAREDO</t>
  </si>
  <si>
    <t>GLZ03051968</t>
  </si>
  <si>
    <t>00121021787</t>
  </si>
  <si>
    <t>00240867</t>
  </si>
  <si>
    <t>CHOLULA, PUE.</t>
  </si>
  <si>
    <t>HOLIDAY INN EXPRESS &amp; SUITES PUEBLA ANGELOPOLIS</t>
  </si>
  <si>
    <t>GLZ03051977</t>
  </si>
  <si>
    <t>00121021867</t>
  </si>
  <si>
    <t>00240861</t>
  </si>
  <si>
    <t>CITY CENTRO OAXACA</t>
  </si>
  <si>
    <t>GLZ03051998</t>
  </si>
  <si>
    <t>00121022067</t>
  </si>
  <si>
    <t>00240930</t>
  </si>
  <si>
    <t>FAIRFIELD MARRIOT NOGALES</t>
  </si>
  <si>
    <t>GLZ03052001</t>
  </si>
  <si>
    <t>00121022108</t>
  </si>
  <si>
    <t>00240929</t>
  </si>
  <si>
    <t>HOLIDAY INN BUENAVISTA CDMX</t>
  </si>
  <si>
    <t>GLZ03052006</t>
  </si>
  <si>
    <t>00121022149</t>
  </si>
  <si>
    <t>00240927</t>
  </si>
  <si>
    <t>HOLIDAY INN EXPRESS PACHUCA</t>
  </si>
  <si>
    <t>GLZ03052012</t>
  </si>
  <si>
    <t>00121022176</t>
  </si>
  <si>
    <t>00240924</t>
  </si>
  <si>
    <t>HOTEL HB XALAPA</t>
  </si>
  <si>
    <t>GLZ03052023</t>
  </si>
  <si>
    <t>00121022260</t>
  </si>
  <si>
    <t>00240922</t>
  </si>
  <si>
    <t>FIESTA AMERICANA SAN LUIS POTOSI</t>
  </si>
  <si>
    <t>GLZ03052028</t>
  </si>
  <si>
    <t>00121022306</t>
  </si>
  <si>
    <t>00240914</t>
  </si>
  <si>
    <t>COYOACAN</t>
  </si>
  <si>
    <t>FIESTA INN PERIFERICO SUR(FFISUR)</t>
  </si>
  <si>
    <t>GLZ03052034</t>
  </si>
  <si>
    <t>00121022362</t>
  </si>
  <si>
    <t>240910º</t>
  </si>
  <si>
    <t>00240910</t>
  </si>
  <si>
    <t>VOCO SALTILLO</t>
  </si>
  <si>
    <t>GLZ03052037</t>
  </si>
  <si>
    <t>00121022390</t>
  </si>
  <si>
    <t>00240909</t>
  </si>
  <si>
    <t>CITY EXPRESS TIJUANA RIO</t>
  </si>
  <si>
    <t>GLZ03052042</t>
  </si>
  <si>
    <t>00121022443</t>
  </si>
  <si>
    <t>00240907</t>
  </si>
  <si>
    <t>GRAN HOTEL &amp; CASINO VIA DORADA</t>
  </si>
  <si>
    <t>GLZ03052048</t>
  </si>
  <si>
    <t>00121022488</t>
  </si>
  <si>
    <t>00218750</t>
  </si>
  <si>
    <t>BARCELO IXTAPA BEACH RESORT</t>
  </si>
  <si>
    <t>GLZ03052050</t>
  </si>
  <si>
    <t>00121022524</t>
  </si>
  <si>
    <t>00240877</t>
  </si>
  <si>
    <t>HOLIDAY INN EXPRESS CULIACAN</t>
  </si>
  <si>
    <t>GLZ03052128</t>
  </si>
  <si>
    <t>00121024646</t>
  </si>
  <si>
    <t>00240931</t>
  </si>
  <si>
    <t>CORTYARD CD JUAREZ</t>
  </si>
  <si>
    <t>GLZ03052133</t>
  </si>
  <si>
    <t>00121024767</t>
  </si>
  <si>
    <t>00240882</t>
  </si>
  <si>
    <t>GLZ03052139</t>
  </si>
  <si>
    <t>00121025203</t>
  </si>
  <si>
    <t>240875 240888</t>
  </si>
  <si>
    <t>00240875</t>
  </si>
  <si>
    <t>HOLIDAY INN VERACRUZ</t>
  </si>
  <si>
    <t>GLZ03052370</t>
  </si>
  <si>
    <t>00121049770</t>
  </si>
  <si>
    <t>00240938</t>
  </si>
  <si>
    <t>11/07/2026</t>
  </si>
  <si>
    <t>GLZ03052384</t>
  </si>
  <si>
    <t>00121049989</t>
  </si>
  <si>
    <t>00240933</t>
  </si>
  <si>
    <t>MARRIOTT PUEBLA</t>
  </si>
  <si>
    <t>GLZ03052389</t>
  </si>
  <si>
    <t>00121050065</t>
  </si>
  <si>
    <t>00240944</t>
  </si>
  <si>
    <t>TORREON, COAH. (EAD)</t>
  </si>
  <si>
    <t>HAMPTON INN TORREON</t>
  </si>
  <si>
    <t>TORREON, COAH. ESTADIO</t>
  </si>
  <si>
    <t>GLZ03052395</t>
  </si>
  <si>
    <t>00121050178</t>
  </si>
  <si>
    <t>00240943</t>
  </si>
  <si>
    <t>HILTON GARDEN INN QUERETARO</t>
  </si>
  <si>
    <t>GLZ03052402</t>
  </si>
  <si>
    <t>00121050235</t>
  </si>
  <si>
    <t>00240939</t>
  </si>
  <si>
    <t>VOCO HERMOSILLO</t>
  </si>
  <si>
    <t>GLZ03052425</t>
  </si>
  <si>
    <t>00121050679</t>
  </si>
  <si>
    <t>00240746</t>
  </si>
  <si>
    <t>RED LOVE</t>
  </si>
  <si>
    <t>GLZ03052466</t>
  </si>
  <si>
    <t>00121051819</t>
  </si>
  <si>
    <t>00240876</t>
  </si>
  <si>
    <t>HOLIDAY INN EXPRESS XALAPA</t>
  </si>
  <si>
    <t>GLZ03052475</t>
  </si>
  <si>
    <t>00121051955</t>
  </si>
  <si>
    <t>240920 240921</t>
  </si>
  <si>
    <t>00240920</t>
  </si>
  <si>
    <t>CONFORT INN LOS CABOS</t>
  </si>
  <si>
    <t>GLZ03054185</t>
  </si>
  <si>
    <t>00121120057</t>
  </si>
  <si>
    <t>00240989</t>
  </si>
  <si>
    <t>13/07/2026</t>
  </si>
  <si>
    <t>GLZ03054188</t>
  </si>
  <si>
    <t>00121120109</t>
  </si>
  <si>
    <t>00240983</t>
  </si>
  <si>
    <t>HILTON MEXICO CITY SANTA FE</t>
  </si>
  <si>
    <t>GLZ03054192</t>
  </si>
  <si>
    <t>00121120165</t>
  </si>
  <si>
    <t>00240982</t>
  </si>
  <si>
    <t>HAMPTON SAN LUIS POTOSI</t>
  </si>
  <si>
    <t>GLZ03054193</t>
  </si>
  <si>
    <t>00121120239</t>
  </si>
  <si>
    <t>00240979</t>
  </si>
  <si>
    <t>HOTEL CITY EXPRESS TIJUANA EL FLORIDO</t>
  </si>
  <si>
    <t>GLZ03054196</t>
  </si>
  <si>
    <t>00121120293</t>
  </si>
  <si>
    <t>00240978</t>
  </si>
  <si>
    <t>CITY EXPRESS SAN LUIS POTOSI ZONA UNIVERSITARIA</t>
  </si>
  <si>
    <t>GLZ03054198</t>
  </si>
  <si>
    <t>00121120351</t>
  </si>
  <si>
    <t>00240977</t>
  </si>
  <si>
    <t>GLZ03054201</t>
  </si>
  <si>
    <t>00121120406</t>
  </si>
  <si>
    <t>00240976</t>
  </si>
  <si>
    <t>CITY EXPRESS DURANGO</t>
  </si>
  <si>
    <t>GLZ03054208</t>
  </si>
  <si>
    <t>00121120488</t>
  </si>
  <si>
    <t>00240975</t>
  </si>
  <si>
    <t>CITY EXPRESS CIUDAD JUAREZ (CECJS) / JIPJUA</t>
  </si>
  <si>
    <t>GLZ03054213</t>
  </si>
  <si>
    <t>00121120590</t>
  </si>
  <si>
    <t>00240973</t>
  </si>
  <si>
    <t>GLZ03054217</t>
  </si>
  <si>
    <t>00121120682</t>
  </si>
  <si>
    <t>00240967</t>
  </si>
  <si>
    <t>HOTEL LUCERNA CD JUAREZ</t>
  </si>
  <si>
    <t xml:space="preserve"> 396</t>
  </si>
  <si>
    <t>GLZ03054236</t>
  </si>
  <si>
    <t>00121121100</t>
  </si>
  <si>
    <t>240964-240965
OMAR MANCILLA GOMEZ</t>
  </si>
  <si>
    <t>00240964</t>
  </si>
  <si>
    <t>FIESTA AMERICANA HACIENDA IXTAPAN DE LA SAL</t>
  </si>
  <si>
    <t>GLZ03054241</t>
  </si>
  <si>
    <t>00121121206</t>
  </si>
  <si>
    <t>00240963</t>
  </si>
  <si>
    <t>INDIGO TIJUANA</t>
  </si>
  <si>
    <t>GLZ03054248</t>
  </si>
  <si>
    <t>00121121273</t>
  </si>
  <si>
    <t>00240961</t>
  </si>
  <si>
    <t>HOLIDAY INN EXPRESS MORELIA CENTRO</t>
  </si>
  <si>
    <t>GLZ03054251</t>
  </si>
  <si>
    <t>00121121348</t>
  </si>
  <si>
    <t>00240959</t>
  </si>
  <si>
    <t>GLZ03054347</t>
  </si>
  <si>
    <t>00121122704</t>
  </si>
  <si>
    <t>PUERTO PEÑASCO SON
COL LAS CONCHAS C.P 83550</t>
  </si>
  <si>
    <t>00240940</t>
  </si>
  <si>
    <t>CABORCA,SON.</t>
  </si>
  <si>
    <t>SUC PE?SCO COMSAN</t>
  </si>
  <si>
    <t>CABORCA,SON</t>
  </si>
  <si>
    <t xml:space="preserve"> 3000</t>
  </si>
  <si>
    <t>GLZ03056307</t>
  </si>
  <si>
    <t>00121179014</t>
  </si>
  <si>
    <t>241019
2 TAR C/75 C</t>
  </si>
  <si>
    <t>00241019</t>
  </si>
  <si>
    <t>14/07/2026</t>
  </si>
  <si>
    <t>GLZ03056313</t>
  </si>
  <si>
    <t>00121179064</t>
  </si>
  <si>
    <t>00241015</t>
  </si>
  <si>
    <t>TULANCINGO, HGO.</t>
  </si>
  <si>
    <t>HOTEL LA JOYA TULANCINGO</t>
  </si>
  <si>
    <t>GLZ03056316</t>
  </si>
  <si>
    <t>00121179112</t>
  </si>
  <si>
    <t>00240992</t>
  </si>
  <si>
    <t>COMFORT INN MONTERREY VALLE</t>
  </si>
  <si>
    <t>GLZ03056321</t>
  </si>
  <si>
    <t>00121179212</t>
  </si>
  <si>
    <t>00241001</t>
  </si>
  <si>
    <t>HAMPTON  QUERETARO TECNOLOGICO MEXICO</t>
  </si>
  <si>
    <t>GLZ03056331</t>
  </si>
  <si>
    <t>00121179268</t>
  </si>
  <si>
    <t>00241002</t>
  </si>
  <si>
    <t>GLZ03056343</t>
  </si>
  <si>
    <t>00121179410</t>
  </si>
  <si>
    <t>00241009</t>
  </si>
  <si>
    <t>HOLIDAY INN QUERETARO CENTRO HISTORICO</t>
  </si>
  <si>
    <t>GLZ03056348</t>
  </si>
  <si>
    <t>00121179484</t>
  </si>
  <si>
    <t>00241011</t>
  </si>
  <si>
    <t>STAYBRIDGE SUITES SILAO</t>
  </si>
  <si>
    <t>GLZ03056695</t>
  </si>
  <si>
    <t>00121183302</t>
  </si>
  <si>
    <t>00241007</t>
  </si>
  <si>
    <t>HOTEL ALEXANDER</t>
  </si>
  <si>
    <t>GLZ03058613</t>
  </si>
  <si>
    <t>00121243632</t>
  </si>
  <si>
    <t>00241022</t>
  </si>
  <si>
    <t>ONE IRAPUATO</t>
  </si>
  <si>
    <t>GLZ03058622</t>
  </si>
  <si>
    <t>00121243743</t>
  </si>
  <si>
    <t>00241031</t>
  </si>
  <si>
    <t>AZUL SIRENA</t>
  </si>
  <si>
    <t>GLZ03058632</t>
  </si>
  <si>
    <t>00121243783</t>
  </si>
  <si>
    <t>00241036</t>
  </si>
  <si>
    <t>GLZ03058639</t>
  </si>
  <si>
    <t>00121243842</t>
  </si>
  <si>
    <t>00241037</t>
  </si>
  <si>
    <t>GLZ03058642</t>
  </si>
  <si>
    <t>00121243940</t>
  </si>
  <si>
    <t>00241046</t>
  </si>
  <si>
    <t>GLZ03058648</t>
  </si>
  <si>
    <t>00121244006</t>
  </si>
  <si>
    <t>00241047</t>
  </si>
  <si>
    <t>GLZ03058651</t>
  </si>
  <si>
    <t>00121244050</t>
  </si>
  <si>
    <t>00241058</t>
  </si>
  <si>
    <t>GUAYMAS, SON.</t>
  </si>
  <si>
    <t>CITY EXPRESS GUAYMAS</t>
  </si>
  <si>
    <t>GLZ03058656</t>
  </si>
  <si>
    <t>00121244095</t>
  </si>
  <si>
    <t>00241059</t>
  </si>
  <si>
    <t>TRYP SLP</t>
  </si>
  <si>
    <t>GLZ03058660</t>
  </si>
  <si>
    <t>00121244125</t>
  </si>
  <si>
    <t>00241061</t>
  </si>
  <si>
    <t>CITY EXPRESS SALTILLO SUR</t>
  </si>
  <si>
    <t>GLZ03058664</t>
  </si>
  <si>
    <t>00121244170</t>
  </si>
  <si>
    <t>00241064</t>
  </si>
  <si>
    <t>SLEEP INN MEXICALI</t>
  </si>
  <si>
    <t>GLZ03058681</t>
  </si>
  <si>
    <t>00121244349</t>
  </si>
  <si>
    <t>00241065</t>
  </si>
  <si>
    <t>LORETO, BCS.</t>
  </si>
  <si>
    <t>VILLAS DEL PALMAR LORETO</t>
  </si>
  <si>
    <t>CIUDAD CONSTITUCION, BCS.</t>
  </si>
  <si>
    <t>GLZ03058705</t>
  </si>
  <si>
    <t>00121244617</t>
  </si>
  <si>
    <t>241068-241069</t>
  </si>
  <si>
    <t>00241068</t>
  </si>
  <si>
    <t>HILTON SAN LUIS POTOSI</t>
  </si>
  <si>
    <t>GLZ03058720</t>
  </si>
  <si>
    <t>00121244832</t>
  </si>
  <si>
    <t>00241070</t>
  </si>
  <si>
    <t>LAGOS DE MORENO, JAL.</t>
  </si>
  <si>
    <t>HOTEL CITY EXPRESS LAGOS DE MORENO</t>
  </si>
  <si>
    <t>GLZ03058728</t>
  </si>
  <si>
    <t>00121245008</t>
  </si>
  <si>
    <t>00241071</t>
  </si>
  <si>
    <t>CHILPANCINGO, GRO.</t>
  </si>
  <si>
    <t>HOLIDAY INN CHILPANCINGO</t>
  </si>
  <si>
    <t>IGUALA, GRO.</t>
  </si>
  <si>
    <t>GLZ03058824</t>
  </si>
  <si>
    <t>00121246717</t>
  </si>
  <si>
    <t>00240993</t>
  </si>
  <si>
    <t xml:space="preserve"> 583</t>
  </si>
  <si>
    <t>GLZ03060661</t>
  </si>
  <si>
    <t>00121305983</t>
  </si>
  <si>
    <t>00241126</t>
  </si>
  <si>
    <t>YUCATAN COUNTRY CLUB</t>
  </si>
  <si>
    <t>GLZ03060665</t>
  </si>
  <si>
    <t>00121306048</t>
  </si>
  <si>
    <t>00219083</t>
  </si>
  <si>
    <t>GLZ03060671</t>
  </si>
  <si>
    <t>00121306110</t>
  </si>
  <si>
    <t>00241130</t>
  </si>
  <si>
    <t>LA QUINTA CD JUAREZ</t>
  </si>
  <si>
    <t>GLZ03060680</t>
  </si>
  <si>
    <t>00121306168</t>
  </si>
  <si>
    <t>00241108</t>
  </si>
  <si>
    <t>GLZ03060689</t>
  </si>
  <si>
    <t>00121306266</t>
  </si>
  <si>
    <t>00241105</t>
  </si>
  <si>
    <t>GLZ03060698</t>
  </si>
  <si>
    <t>00121306319</t>
  </si>
  <si>
    <t>00241110</t>
  </si>
  <si>
    <t>HAMPTON CHIHUAHUA CITY MEXICO</t>
  </si>
  <si>
    <t>GLZ03060706</t>
  </si>
  <si>
    <t>00121306376</t>
  </si>
  <si>
    <t>00241124</t>
  </si>
  <si>
    <t>GLZ03062813</t>
  </si>
  <si>
    <t>00121367945</t>
  </si>
  <si>
    <t>1 TAR C 79 CAJAS</t>
  </si>
  <si>
    <t>00241154</t>
  </si>
  <si>
    <t>GLZ03062819</t>
  </si>
  <si>
    <t>00121368043</t>
  </si>
  <si>
    <t>00241178</t>
  </si>
  <si>
    <t>PACIFICA RESORTS IXTAPA</t>
  </si>
  <si>
    <t>GLZ03062822</t>
  </si>
  <si>
    <t>00121368095</t>
  </si>
  <si>
    <t>00241182</t>
  </si>
  <si>
    <t>CITY EXPRESS LA PAZ</t>
  </si>
  <si>
    <t>GLZ03062825</t>
  </si>
  <si>
    <t>00121368135</t>
  </si>
  <si>
    <t>00241186</t>
  </si>
  <si>
    <t>GLZ03062826</t>
  </si>
  <si>
    <t>00121368198</t>
  </si>
  <si>
    <t>00241188</t>
  </si>
  <si>
    <t>COMFORT INN MORELIA</t>
  </si>
  <si>
    <t>GLZ03062828</t>
  </si>
  <si>
    <t>00121368276</t>
  </si>
  <si>
    <t>00241189</t>
  </si>
  <si>
    <t>HOTEL GRAND VELAS LOS CABOS/ COL. LOMAS DEL TULE</t>
  </si>
  <si>
    <t>GLZ03062834</t>
  </si>
  <si>
    <t>00121368327</t>
  </si>
  <si>
    <t>00241151</t>
  </si>
  <si>
    <t>GLZ03062838</t>
  </si>
  <si>
    <t>00121368369</t>
  </si>
  <si>
    <t>00241084</t>
  </si>
  <si>
    <t>GLZ03062841</t>
  </si>
  <si>
    <t>00121368401</t>
  </si>
  <si>
    <t>00241085</t>
  </si>
  <si>
    <t>GLZ03062843</t>
  </si>
  <si>
    <t>00121368431</t>
  </si>
  <si>
    <t>00241087</t>
  </si>
  <si>
    <t>GLZ03062846</t>
  </si>
  <si>
    <t>00121368457</t>
  </si>
  <si>
    <t>00241099</t>
  </si>
  <si>
    <t>GLZ03062849</t>
  </si>
  <si>
    <t>00121368514</t>
  </si>
  <si>
    <t>00241101</t>
  </si>
  <si>
    <t>HAMPTON INN PUEBLA</t>
  </si>
  <si>
    <t>GLZ03062856</t>
  </si>
  <si>
    <t>00121368574</t>
  </si>
  <si>
    <t>00241107</t>
  </si>
  <si>
    <t>HAMPTON INN SALTILLO</t>
  </si>
  <si>
    <t>GLZ03062889</t>
  </si>
  <si>
    <t>00121369011</t>
  </si>
  <si>
    <t>241167-241168</t>
  </si>
  <si>
    <t>00241167</t>
  </si>
  <si>
    <t>HAMPTON MEXICO CITY/CENTRO HISTORICO</t>
  </si>
  <si>
    <t>GLZ03062897</t>
  </si>
  <si>
    <t>00121369132</t>
  </si>
  <si>
    <t>00241162</t>
  </si>
  <si>
    <t>COURTYARD CIUDAD JUAREZ</t>
  </si>
  <si>
    <t>GLZ03062900</t>
  </si>
  <si>
    <t>00121369172</t>
  </si>
  <si>
    <t>00241164</t>
  </si>
  <si>
    <t>GLZ03062904</t>
  </si>
  <si>
    <t>00121369218</t>
  </si>
  <si>
    <t>00241165</t>
  </si>
  <si>
    <t>HOLIDAY INN EXPRESS CHIHUAHUA</t>
  </si>
  <si>
    <t>GLZ03062908</t>
  </si>
  <si>
    <t>00121369267</t>
  </si>
  <si>
    <t>00241160</t>
  </si>
  <si>
    <t>GLZ03062911</t>
  </si>
  <si>
    <t>00121369323</t>
  </si>
  <si>
    <t>00241159</t>
  </si>
  <si>
    <t>GLZ03062912</t>
  </si>
  <si>
    <t>00121369343</t>
  </si>
  <si>
    <t>00241158</t>
  </si>
  <si>
    <t>COURTYARD TUXPAN</t>
  </si>
  <si>
    <t>GLZ03062919</t>
  </si>
  <si>
    <t>00121369428</t>
  </si>
  <si>
    <t>00241156</t>
  </si>
  <si>
    <t>HILTON GRAND VACATIONS LA PACIFICA LOS CABOS BY HILTON CLUB</t>
  </si>
  <si>
    <t xml:space="preserve"> 748</t>
  </si>
  <si>
    <t>GLZ03062923</t>
  </si>
  <si>
    <t>00121369456</t>
  </si>
  <si>
    <t>00241150</t>
  </si>
  <si>
    <t>HAMPTON INN PARAISO TABASCO</t>
  </si>
  <si>
    <t>GLZ03062925</t>
  </si>
  <si>
    <t>00121369498</t>
  </si>
  <si>
    <t>00241149</t>
  </si>
  <si>
    <t>HOLIDAY INN EXPRESS &amp; SUITES MONTERREY AEROPUERTO(MTYZO)</t>
  </si>
  <si>
    <t>GLZ03062926</t>
  </si>
  <si>
    <t>00121369552</t>
  </si>
  <si>
    <t>00241148</t>
  </si>
  <si>
    <t>HOLIDAY INN VILLAHERMOSA AEROPUERTO</t>
  </si>
  <si>
    <t>GLZ03062927</t>
  </si>
  <si>
    <t>00121369575</t>
  </si>
  <si>
    <t>00241147</t>
  </si>
  <si>
    <t>CITY EXPRESS MAZATLAN</t>
  </si>
  <si>
    <t>GLZ03062931</t>
  </si>
  <si>
    <t>00121369630</t>
  </si>
  <si>
    <t>00241144</t>
  </si>
  <si>
    <t>CANCUN, Q.R.</t>
  </si>
  <si>
    <t>HILTON GARDEN INN CANCUN</t>
  </si>
  <si>
    <t>CANCUN, QROO</t>
  </si>
  <si>
    <t>GLZ03062932</t>
  </si>
  <si>
    <t>00121369673</t>
  </si>
  <si>
    <t>00241136</t>
  </si>
  <si>
    <t>GLZ03062933</t>
  </si>
  <si>
    <t>00121369701</t>
  </si>
  <si>
    <t>00241135</t>
  </si>
  <si>
    <t>CITY EXPRESS HERMOSILLO EXPO CEHME</t>
  </si>
  <si>
    <t>GLZ03062937</t>
  </si>
  <si>
    <t>00121369781</t>
  </si>
  <si>
    <t>00219148</t>
  </si>
  <si>
    <t>GLZ03062938</t>
  </si>
  <si>
    <t>00121369833</t>
  </si>
  <si>
    <t>00241140</t>
  </si>
  <si>
    <t>GLZ03063048</t>
  </si>
  <si>
    <t>00121390015</t>
  </si>
  <si>
    <t>00241137</t>
  </si>
  <si>
    <t>GAMMA MERIDA COLONIAL EL CASTELLANO</t>
  </si>
  <si>
    <t>18/07/2026</t>
  </si>
  <si>
    <t>GLZ03064978</t>
  </si>
  <si>
    <t>00121471885</t>
  </si>
  <si>
    <t>00241233</t>
  </si>
  <si>
    <t>CROWNE PLAZA LEON</t>
  </si>
  <si>
    <t>20/07/2026</t>
  </si>
  <si>
    <t>GLZ03064984</t>
  </si>
  <si>
    <t>00121471952</t>
  </si>
  <si>
    <t>00241229</t>
  </si>
  <si>
    <t>GLZ03064990</t>
  </si>
  <si>
    <t>00121472110</t>
  </si>
  <si>
    <t>00241228</t>
  </si>
  <si>
    <t>SAN MIGUEL ALLENDE, GTO.</t>
  </si>
  <si>
    <t>HOTEL MISION SAN MIGUEL DE ALLENDE</t>
  </si>
  <si>
    <t>GLZ03064996</t>
  </si>
  <si>
    <t>00121472158</t>
  </si>
  <si>
    <t>00241223</t>
  </si>
  <si>
    <t>HOTEL ZAR CULIACAN</t>
  </si>
  <si>
    <t>GLZ03065001</t>
  </si>
  <si>
    <t>00121472223</t>
  </si>
  <si>
    <t>00241206</t>
  </si>
  <si>
    <t>HOTEL CASA MIA SUITES</t>
  </si>
  <si>
    <t>GLZ03065016</t>
  </si>
  <si>
    <t>00121472464</t>
  </si>
  <si>
    <t>00241235</t>
  </si>
  <si>
    <t>GLZ03065083</t>
  </si>
  <si>
    <t>00121473218</t>
  </si>
  <si>
    <t>00241234</t>
  </si>
  <si>
    <t>(HILTON GARDEN INN LEON)</t>
  </si>
  <si>
    <t>GLZ03067157</t>
  </si>
  <si>
    <t>00121530805</t>
  </si>
  <si>
    <t>00241232</t>
  </si>
  <si>
    <t>21/07/2026</t>
  </si>
  <si>
    <t>GLZ03067169</t>
  </si>
  <si>
    <t>00121530903</t>
  </si>
  <si>
    <t>GLZ03067185</t>
  </si>
  <si>
    <t>00121531003</t>
  </si>
  <si>
    <t>00241217</t>
  </si>
  <si>
    <t>COMFORT INN SAN LUIS POTOSI</t>
  </si>
  <si>
    <t>GLZ03067196</t>
  </si>
  <si>
    <t>00121531146</t>
  </si>
  <si>
    <t>00241221</t>
  </si>
  <si>
    <t>HOTEL ZAR QUERETARO</t>
  </si>
  <si>
    <t>GLZ03067225</t>
  </si>
  <si>
    <t>00121531531</t>
  </si>
  <si>
    <t>00241240</t>
  </si>
  <si>
    <t>HOTEL GRAND FIESTA AMERICANA LOS CABOS</t>
  </si>
  <si>
    <t>GLZ03067232</t>
  </si>
  <si>
    <t>00121531623</t>
  </si>
  <si>
    <t>00241241</t>
  </si>
  <si>
    <t>FIESTA INN DURANGO</t>
  </si>
  <si>
    <t>GLZ03067244</t>
  </si>
  <si>
    <t>00121531761</t>
  </si>
  <si>
    <t>00241243</t>
  </si>
  <si>
    <t>GLZ03067253</t>
  </si>
  <si>
    <t>00121531902</t>
  </si>
  <si>
    <t>00241207</t>
  </si>
  <si>
    <t>GLZ03067273</t>
  </si>
  <si>
    <t>00121532119</t>
  </si>
  <si>
    <t>POLIZA GNP127103273</t>
  </si>
  <si>
    <t>00241253</t>
  </si>
  <si>
    <t>HILTON GARDEN INN BOCA DEL RIO</t>
  </si>
  <si>
    <t>GLZ03067288</t>
  </si>
  <si>
    <t>00121532223</t>
  </si>
  <si>
    <t>00241251</t>
  </si>
  <si>
    <t>OPERADORA EMPORIO VERACRUZ SA DE CV</t>
  </si>
  <si>
    <t>GLZ03069793</t>
  </si>
  <si>
    <t>00121595567</t>
  </si>
  <si>
    <t>241274
2 TAR</t>
  </si>
  <si>
    <t>00241274</t>
  </si>
  <si>
    <t>22/07/2026</t>
  </si>
  <si>
    <t>GLZ03069795</t>
  </si>
  <si>
    <t>00121595612</t>
  </si>
  <si>
    <t>241230
2 TAR C/182 CA</t>
  </si>
  <si>
    <t>00241230</t>
  </si>
  <si>
    <t>**XINU***</t>
  </si>
  <si>
    <t>GLZ03069807</t>
  </si>
  <si>
    <t>00121595867</t>
  </si>
  <si>
    <t>00219195</t>
  </si>
  <si>
    <t>DECAMERON COCOS</t>
  </si>
  <si>
    <t>GLZ03069813</t>
  </si>
  <si>
    <t>00121595986</t>
  </si>
  <si>
    <t>00219203</t>
  </si>
  <si>
    <t>BARCELO MEXICO SANTA FE</t>
  </si>
  <si>
    <t>GLZ03069820</t>
  </si>
  <si>
    <t>00121596063</t>
  </si>
  <si>
    <t>00241361</t>
  </si>
  <si>
    <t>GLZ03069823</t>
  </si>
  <si>
    <t>00121596099</t>
  </si>
  <si>
    <t>00241360</t>
  </si>
  <si>
    <t>GLZ03069828</t>
  </si>
  <si>
    <t>00121596136</t>
  </si>
  <si>
    <t>00241358</t>
  </si>
  <si>
    <t>GLZ03069835</t>
  </si>
  <si>
    <t>00121596180</t>
  </si>
  <si>
    <t>00241356</t>
  </si>
  <si>
    <t>GLZ03069839</t>
  </si>
  <si>
    <t>00121596220</t>
  </si>
  <si>
    <t>00241354</t>
  </si>
  <si>
    <t>GLZ03069844</t>
  </si>
  <si>
    <t>00121596260</t>
  </si>
  <si>
    <t>00241353</t>
  </si>
  <si>
    <t>GLZ03069853</t>
  </si>
  <si>
    <t>00121596335</t>
  </si>
  <si>
    <t>00241351</t>
  </si>
  <si>
    <t>GLZ03069855</t>
  </si>
  <si>
    <t>00121596366</t>
  </si>
  <si>
    <t>00241348</t>
  </si>
  <si>
    <t>HOLIDAY INN MEXICO PLAZA UNIVERSIDAD</t>
  </si>
  <si>
    <t>GLZ03069857</t>
  </si>
  <si>
    <t>00121596400</t>
  </si>
  <si>
    <t>00241346</t>
  </si>
  <si>
    <t>HOLIDAY INN SANTA FE</t>
  </si>
  <si>
    <t>GLZ03069858</t>
  </si>
  <si>
    <t>00121596434</t>
  </si>
  <si>
    <t>00241345</t>
  </si>
  <si>
    <t>GLZ03069860</t>
  </si>
  <si>
    <t>00121596468</t>
  </si>
  <si>
    <t>00241344</t>
  </si>
  <si>
    <t>GLZ03069863</t>
  </si>
  <si>
    <t>00121596509</t>
  </si>
  <si>
    <t>00241343</t>
  </si>
  <si>
    <t>SAN NICOLAS DE LOS GARZA, N.L.</t>
  </si>
  <si>
    <t>WYNDHAM GARDEN MONTERREY NORTE</t>
  </si>
  <si>
    <t>GLZ03069868</t>
  </si>
  <si>
    <t>00121596638</t>
  </si>
  <si>
    <t>00241342</t>
  </si>
  <si>
    <t>HOLIDAY INN LEON CENTRO DE CONVENCIONES</t>
  </si>
  <si>
    <t>GLZ03069871</t>
  </si>
  <si>
    <t>00121596795</t>
  </si>
  <si>
    <t>00241341</t>
  </si>
  <si>
    <t>HOLIDAY INN MEXICO DALI AEROPUERTO</t>
  </si>
  <si>
    <t>GLZ03069874</t>
  </si>
  <si>
    <t>00121596872</t>
  </si>
  <si>
    <t>00241340</t>
  </si>
  <si>
    <t>HOLIDAY INN EXPRESS &amp; SUITES QUERETARO</t>
  </si>
  <si>
    <t>GLZ03069877</t>
  </si>
  <si>
    <t>00121596917</t>
  </si>
  <si>
    <t>241339 241359</t>
  </si>
  <si>
    <t>00241339</t>
  </si>
  <si>
    <t xml:space="preserve"> 1</t>
  </si>
  <si>
    <t>GLZ03069879</t>
  </si>
  <si>
    <t>00121597003</t>
  </si>
  <si>
    <t>00241288</t>
  </si>
  <si>
    <t>FIESTA INN VERACRUZ BOCA DEL RIO (FIVZP)</t>
  </si>
  <si>
    <t>GLZ03069882</t>
  </si>
  <si>
    <t>00121597034</t>
  </si>
  <si>
    <t>00241287</t>
  </si>
  <si>
    <t>GLZ03069884</t>
  </si>
  <si>
    <t>00121597195</t>
  </si>
  <si>
    <t>00241285</t>
  </si>
  <si>
    <t>CITY EXPRESS CIUDAD DEL CARMEN (CECME )</t>
  </si>
  <si>
    <t>GLZ03069887</t>
  </si>
  <si>
    <t>00121597256</t>
  </si>
  <si>
    <t>00241283</t>
  </si>
  <si>
    <t>CITY EXPRESS CIUDAD OBREGON</t>
  </si>
  <si>
    <t>GLZ03069889</t>
  </si>
  <si>
    <t>00121597297</t>
  </si>
  <si>
    <t>00241273</t>
  </si>
  <si>
    <t>GLZ03069893</t>
  </si>
  <si>
    <t>00121597355</t>
  </si>
  <si>
    <t>00241271</t>
  </si>
  <si>
    <t>CITY EXPRESS TORREON (CETRC)</t>
  </si>
  <si>
    <t>GLZ03069895</t>
  </si>
  <si>
    <t>00121597395</t>
  </si>
  <si>
    <t>00241268</t>
  </si>
  <si>
    <t>HOLIDAY INN ALTAMIRA TAMAULIPAS</t>
  </si>
  <si>
    <t>GLZ03069901</t>
  </si>
  <si>
    <t>00121597516</t>
  </si>
  <si>
    <t>00241265</t>
  </si>
  <si>
    <t>HOTEL HAMPTON INN TAMPICO ZONA DORADA</t>
  </si>
  <si>
    <t>GLZ03069902</t>
  </si>
  <si>
    <t>00121597544</t>
  </si>
  <si>
    <t>00241263</t>
  </si>
  <si>
    <t>MICROTEL IRAPUATO</t>
  </si>
  <si>
    <t>GLZ03069906</t>
  </si>
  <si>
    <t>00121597698</t>
  </si>
  <si>
    <t>00241261</t>
  </si>
  <si>
    <t>RESIDENCE INN MERIDA BY MARRIOTT</t>
  </si>
  <si>
    <t>GLZ03069907</t>
  </si>
  <si>
    <t>00121597737</t>
  </si>
  <si>
    <t>00241252</t>
  </si>
  <si>
    <t>HOTEL HAMPTON MERIDA / INMOBILIARIA PENINSULAR DG</t>
  </si>
  <si>
    <t>GLZ03069910</t>
  </si>
  <si>
    <t>00121597793</t>
  </si>
  <si>
    <t>00241248</t>
  </si>
  <si>
    <t>COURTYARD BY MARRIOT MERIDA</t>
  </si>
  <si>
    <t>GLZ03069911</t>
  </si>
  <si>
    <t>00121597815</t>
  </si>
  <si>
    <t>00241244</t>
  </si>
  <si>
    <t>COURTYARD LA PAZ</t>
  </si>
  <si>
    <t xml:space="preserve"> 385</t>
  </si>
  <si>
    <t>GLZ03069913</t>
  </si>
  <si>
    <t>00121597855</t>
  </si>
  <si>
    <t>00241246</t>
  </si>
  <si>
    <t>HOTEL COURTYARD LOS LAGOS SAN LUIS POTOSI</t>
  </si>
  <si>
    <t>GLZ03069915</t>
  </si>
  <si>
    <t>00121597929</t>
  </si>
  <si>
    <t>00241220</t>
  </si>
  <si>
    <t>HAMPTON MONTERREY APODACA</t>
  </si>
  <si>
    <t>GLZ03070097</t>
  </si>
  <si>
    <t>00121620021</t>
  </si>
  <si>
    <t>00241267</t>
  </si>
  <si>
    <t>CITY EXPRESS MONTERREY NORTE</t>
  </si>
  <si>
    <t>23/07/2026</t>
  </si>
  <si>
    <t>GLZ03070124</t>
  </si>
  <si>
    <t>00121620966</t>
  </si>
  <si>
    <t>GLZ03072033</t>
  </si>
  <si>
    <t>00121656854</t>
  </si>
  <si>
    <t>00241399</t>
  </si>
  <si>
    <t>CITY JUNIOR VERACRUZ AEROPUERTO</t>
  </si>
  <si>
    <t>GLZ03072039</t>
  </si>
  <si>
    <t>00121657025</t>
  </si>
  <si>
    <t>00241392</t>
  </si>
  <si>
    <t>HOTEL VOCO CDMX REFORMAS</t>
  </si>
  <si>
    <t>GLZ03072044</t>
  </si>
  <si>
    <t>00121657086</t>
  </si>
  <si>
    <t>00241378</t>
  </si>
  <si>
    <t>GLZ03072048</t>
  </si>
  <si>
    <t>00121657130</t>
  </si>
  <si>
    <t>00241369</t>
  </si>
  <si>
    <t>GLZ03072051</t>
  </si>
  <si>
    <t>00121657169</t>
  </si>
  <si>
    <t>00241368</t>
  </si>
  <si>
    <t>GLZ03072055</t>
  </si>
  <si>
    <t>00121657207</t>
  </si>
  <si>
    <t>00241366</t>
  </si>
  <si>
    <t>GLZ03072058</t>
  </si>
  <si>
    <t>00121657248</t>
  </si>
  <si>
    <t>00241364</t>
  </si>
  <si>
    <t>GLZ03072063</t>
  </si>
  <si>
    <t>00121657298</t>
  </si>
  <si>
    <t>00241363</t>
  </si>
  <si>
    <t>GLZ03072065</t>
  </si>
  <si>
    <t>00121657335</t>
  </si>
  <si>
    <t>00241362</t>
  </si>
  <si>
    <t>GLZ03072067</t>
  </si>
  <si>
    <t>00121657365</t>
  </si>
  <si>
    <t>00241432</t>
  </si>
  <si>
    <t>GLZ03072072</t>
  </si>
  <si>
    <t>00121657432</t>
  </si>
  <si>
    <t>00241429</t>
  </si>
  <si>
    <t>COURTYARD MARRIOTT MEXICO CITY VALLEJO</t>
  </si>
  <si>
    <t>GLZ03072080</t>
  </si>
  <si>
    <t>00121657575</t>
  </si>
  <si>
    <t>00000012</t>
  </si>
  <si>
    <t>GLZ03072082</t>
  </si>
  <si>
    <t>00121657592</t>
  </si>
  <si>
    <t>00241333</t>
  </si>
  <si>
    <t>ENCORE SAN LUIS POTOSI</t>
  </si>
  <si>
    <t>GLZ03072084</t>
  </si>
  <si>
    <t>00121657619</t>
  </si>
  <si>
    <t>00241328</t>
  </si>
  <si>
    <t>GLZ03072087</t>
  </si>
  <si>
    <t>00121657759</t>
  </si>
  <si>
    <t>00241329</t>
  </si>
  <si>
    <t>FIESTA AMERICANA HACIENDA GALINDO/ LUZ MA ALVAREZ MORENO</t>
  </si>
  <si>
    <t>GLZ03072092</t>
  </si>
  <si>
    <t>00121657856</t>
  </si>
  <si>
    <t>00241338</t>
  </si>
  <si>
    <t>HOLIDAY INN CAMPECHE</t>
  </si>
  <si>
    <t>GLZ03072105</t>
  </si>
  <si>
    <t>00121657986</t>
  </si>
  <si>
    <t>00241396</t>
  </si>
  <si>
    <t>BAJA BOSS</t>
  </si>
  <si>
    <t>GLZ03072107</t>
  </si>
  <si>
    <t>00121658008</t>
  </si>
  <si>
    <t>00241393</t>
  </si>
  <si>
    <t>HOTEL BLATER PUERTO ESCONDIDO</t>
  </si>
  <si>
    <t>GLZ03072115</t>
  </si>
  <si>
    <t>00121658053</t>
  </si>
  <si>
    <t>00241330</t>
  </si>
  <si>
    <t>FIESTA AMERICANA CONDESA CANCUN FACC</t>
  </si>
  <si>
    <t>GLZ03072119</t>
  </si>
  <si>
    <t>00121658146</t>
  </si>
  <si>
    <t>00241331</t>
  </si>
  <si>
    <t>COURT PLAYA DEL CARMEN</t>
  </si>
  <si>
    <t>GLZ03072121</t>
  </si>
  <si>
    <t>00121658176</t>
  </si>
  <si>
    <t>00241336</t>
  </si>
  <si>
    <t>GLZ03072123</t>
  </si>
  <si>
    <t>00121658192</t>
  </si>
  <si>
    <t>00241365</t>
  </si>
  <si>
    <t>MONTERREY, N.L.</t>
  </si>
  <si>
    <t>FARMASES</t>
  </si>
  <si>
    <t>GLZ03072124</t>
  </si>
  <si>
    <t>00121658240</t>
  </si>
  <si>
    <t>00241411</t>
  </si>
  <si>
    <t>GLZ03072126</t>
  </si>
  <si>
    <t>00121658269</t>
  </si>
  <si>
    <t>00241410</t>
  </si>
  <si>
    <t>MINATITLAN, VER.</t>
  </si>
  <si>
    <t>CITY EXPRESS MINATITLAN</t>
  </si>
  <si>
    <t>GLZ03072128</t>
  </si>
  <si>
    <t>00121658290</t>
  </si>
  <si>
    <t>00241408</t>
  </si>
  <si>
    <t>QUALITY INN MONTERREY LA FE</t>
  </si>
  <si>
    <t>GLZ03072130</t>
  </si>
  <si>
    <t>00121658346</t>
  </si>
  <si>
    <t>00241405</t>
  </si>
  <si>
    <t>COMFORT INN HERMOSILLO</t>
  </si>
  <si>
    <t>GLZ03072131</t>
  </si>
  <si>
    <t>00121658387</t>
  </si>
  <si>
    <t>00241404</t>
  </si>
  <si>
    <t>GLZ03072136</t>
  </si>
  <si>
    <t>00121658457</t>
  </si>
  <si>
    <t>00241322</t>
  </si>
  <si>
    <t>GLZ03072139</t>
  </si>
  <si>
    <t>00121658477</t>
  </si>
  <si>
    <t>00241321</t>
  </si>
  <si>
    <t>HAMPTON VERACRUZ BOCA DEL RIO</t>
  </si>
  <si>
    <t>GLZ03072142</t>
  </si>
  <si>
    <t>00121658530</t>
  </si>
  <si>
    <t>00241316</t>
  </si>
  <si>
    <t>COURTYARD MARRIOTT SAN LUIS POTOSI</t>
  </si>
  <si>
    <t>GLZ03072145</t>
  </si>
  <si>
    <t>00121658587</t>
  </si>
  <si>
    <t>00241299</t>
  </si>
  <si>
    <t>GLZ03072150</t>
  </si>
  <si>
    <t>00121658673</t>
  </si>
  <si>
    <t>00241325</t>
  </si>
  <si>
    <t>GUAYMAS COMSAN</t>
  </si>
  <si>
    <t>GLZ03072151</t>
  </si>
  <si>
    <t>00121658701</t>
  </si>
  <si>
    <t>00241327</t>
  </si>
  <si>
    <t>GLZ03073881</t>
  </si>
  <si>
    <t>00121711964</t>
  </si>
  <si>
    <t>00241387</t>
  </si>
  <si>
    <t>ENCORE MONTERREY</t>
  </si>
  <si>
    <t>GLZ03073887</t>
  </si>
  <si>
    <t>00121712020</t>
  </si>
  <si>
    <t>00241373</t>
  </si>
  <si>
    <t>URUAPAN, MICH</t>
  </si>
  <si>
    <t>HOLIDAY INN URUAPAN</t>
  </si>
  <si>
    <t>URUAPAN, MICH.</t>
  </si>
  <si>
    <t>GLZ03073890</t>
  </si>
  <si>
    <t>00121712058</t>
  </si>
  <si>
    <t>00241379</t>
  </si>
  <si>
    <t>GLZ03073894</t>
  </si>
  <si>
    <t>00121712140</t>
  </si>
  <si>
    <t>241372º</t>
  </si>
  <si>
    <t>00241372</t>
  </si>
  <si>
    <t>HOLIDAY INN TLAXCALA</t>
  </si>
  <si>
    <t>GLZ03073903</t>
  </si>
  <si>
    <t>00121712212</t>
  </si>
  <si>
    <t>00241386</t>
  </si>
  <si>
    <t>GLZ03073906</t>
  </si>
  <si>
    <t>00121712281</t>
  </si>
  <si>
    <t>00241384</t>
  </si>
  <si>
    <t>GLZ03073910</t>
  </si>
  <si>
    <t>00121712352</t>
  </si>
  <si>
    <t>00241389</t>
  </si>
  <si>
    <t>HOLIDAY INN EXPRESS &amp; SUITES SILAO AEROPUERTO</t>
  </si>
  <si>
    <t>GLZ03073915</t>
  </si>
  <si>
    <t>00121712390</t>
  </si>
  <si>
    <t>00241381</t>
  </si>
  <si>
    <t>GLZ03073922</t>
  </si>
  <si>
    <t>00121712516</t>
  </si>
  <si>
    <t>GLZ03073930</t>
  </si>
  <si>
    <t>00121712585</t>
  </si>
  <si>
    <t>00241380</t>
  </si>
  <si>
    <t>CIUDAD CUAUHTEMOC, CHIH.</t>
  </si>
  <si>
    <t>MICROTEL CUAUHTEMOC</t>
  </si>
  <si>
    <t>CD. CUAHUTEMOC, CHIH.</t>
  </si>
  <si>
    <t>GLZ03073980</t>
  </si>
  <si>
    <t>00121713342</t>
  </si>
  <si>
    <t>FOLIO-13
ATN MARIAN VALQUER
TEL 33-36-76-9738</t>
  </si>
  <si>
    <t>CITA EL DIA
JUL 28-2026, 1:30 PM</t>
  </si>
  <si>
    <t>00000013</t>
  </si>
  <si>
    <t>AMAZON BJX1 LEON</t>
  </si>
  <si>
    <t>GLZ03073984</t>
  </si>
  <si>
    <t>00121713410</t>
  </si>
  <si>
    <t>00241377</t>
  </si>
  <si>
    <t>GLZ03073991</t>
  </si>
  <si>
    <t>00121713503</t>
  </si>
  <si>
    <t>00241382</t>
  </si>
  <si>
    <t>GLZ03073998</t>
  </si>
  <si>
    <t>00121713575</t>
  </si>
  <si>
    <t>00241490</t>
  </si>
  <si>
    <t>GLZ03074003</t>
  </si>
  <si>
    <t>00121713658</t>
  </si>
  <si>
    <t>00241489</t>
  </si>
  <si>
    <t>GLZ03074005</t>
  </si>
  <si>
    <t>00121713719</t>
  </si>
  <si>
    <t>00241491</t>
  </si>
  <si>
    <t>GLZ03074009</t>
  </si>
  <si>
    <t>00121713782</t>
  </si>
  <si>
    <t>00241492</t>
  </si>
  <si>
    <t>GLZ03074030</t>
  </si>
  <si>
    <t>00121714258</t>
  </si>
  <si>
    <t>00240687</t>
  </si>
  <si>
    <t>CITY JUNIOR MERIDA ALTABRISA</t>
  </si>
  <si>
    <t>GLZ03074076</t>
  </si>
  <si>
    <t>00121714814</t>
  </si>
  <si>
    <t>00241407</t>
  </si>
  <si>
    <t>COMFORT INN SUITES TIJUANA</t>
  </si>
  <si>
    <t>GLZ03074225</t>
  </si>
  <si>
    <t>00121716531</t>
  </si>
  <si>
    <t>00240623</t>
  </si>
  <si>
    <t>GLZ03074759</t>
  </si>
  <si>
    <t>00121748117</t>
  </si>
  <si>
    <t>00241420</t>
  </si>
  <si>
    <t>25/07/2026</t>
  </si>
  <si>
    <t>GLZ03074773</t>
  </si>
  <si>
    <t>00121748614</t>
  </si>
  <si>
    <t>00241488</t>
  </si>
  <si>
    <t>GLZ03074785</t>
  </si>
  <si>
    <t>00121748758</t>
  </si>
  <si>
    <t>00241475</t>
  </si>
  <si>
    <t>HOLIDAY INN EXPRESS OAXACA CENTRO</t>
  </si>
  <si>
    <t>GLZ03074794</t>
  </si>
  <si>
    <t>00121748872</t>
  </si>
  <si>
    <t>00241497</t>
  </si>
  <si>
    <t>HOLIDAY INN BUENAVISTA/JAZMIN SANCHEZ</t>
  </si>
  <si>
    <t>GLZ03074799</t>
  </si>
  <si>
    <t>00121749003</t>
  </si>
  <si>
    <t>00241496</t>
  </si>
  <si>
    <t>STAYBRIDGUE IRAPUATO</t>
  </si>
  <si>
    <t>GLZ03074801</t>
  </si>
  <si>
    <t>00121749035</t>
  </si>
  <si>
    <t>00241443</t>
  </si>
  <si>
    <t>COMERCIALIZADORA SANITARIA SA DE CV</t>
  </si>
  <si>
    <t>GLZ03074803</t>
  </si>
  <si>
    <t>00121749077</t>
  </si>
  <si>
    <t>00241493</t>
  </si>
  <si>
    <t>HOLIDAY INN MTY VALLE</t>
  </si>
  <si>
    <t>GLZ03074812</t>
  </si>
  <si>
    <t>00121749205</t>
  </si>
  <si>
    <t>00241484</t>
  </si>
  <si>
    <t>STAYBRIDGE SUITES SALTILLO</t>
  </si>
  <si>
    <t>GLZ03074821</t>
  </si>
  <si>
    <t>00121749416</t>
  </si>
  <si>
    <t>00241474</t>
  </si>
  <si>
    <t>CIUDAD DELICIAS, CHIH.</t>
  </si>
  <si>
    <t>CASA GRANDE DELICIAS(CUUDE)</t>
  </si>
  <si>
    <t>CD. DELICIAS, CHIH.</t>
  </si>
  <si>
    <t>GLZ03074826</t>
  </si>
  <si>
    <t>00121749483</t>
  </si>
  <si>
    <t>00241476</t>
  </si>
  <si>
    <t>HOLIDAY INN PUEBLA LA NORIA</t>
  </si>
  <si>
    <t>GLZ03074836</t>
  </si>
  <si>
    <t>00121749605</t>
  </si>
  <si>
    <t>00241447</t>
  </si>
  <si>
    <t>GLZ03074840</t>
  </si>
  <si>
    <t>00121749623</t>
  </si>
  <si>
    <t>00241494</t>
  </si>
  <si>
    <t>HOLIDAY INN EXPRESS MEXICO BASILIC</t>
  </si>
  <si>
    <t>GLZ03074851</t>
  </si>
  <si>
    <t>00121749726</t>
  </si>
  <si>
    <t>00241468</t>
  </si>
  <si>
    <t>HOLIDAY INN COATZACOALCOS</t>
  </si>
  <si>
    <t>GLZ03074854</t>
  </si>
  <si>
    <t>00121749739</t>
  </si>
  <si>
    <t>00241448</t>
  </si>
  <si>
    <t>GLZ03074861</t>
  </si>
  <si>
    <t>00121749840</t>
  </si>
  <si>
    <t>00241477</t>
  </si>
  <si>
    <t>GLZ03074872</t>
  </si>
  <si>
    <t>00121749947</t>
  </si>
  <si>
    <t>00000001</t>
  </si>
  <si>
    <t>GLZ03074881</t>
  </si>
  <si>
    <t>00121750043</t>
  </si>
  <si>
    <t>00241480</t>
  </si>
  <si>
    <t>STAYBRIDGE MONTERREY</t>
  </si>
  <si>
    <t>GLZ03074888</t>
  </si>
  <si>
    <t>00121750126</t>
  </si>
  <si>
    <t>00241487</t>
  </si>
  <si>
    <t>HOLIDAY INN EXPRESS PUEBLA ANGELOP?IS</t>
  </si>
  <si>
    <t>GLZ03074891</t>
  </si>
  <si>
    <t>00121750190</t>
  </si>
  <si>
    <t>00241465</t>
  </si>
  <si>
    <t>HOLIDAY INN EXPRESS SATELITE</t>
  </si>
  <si>
    <t>GLZ03074892</t>
  </si>
  <si>
    <t>00121750204</t>
  </si>
  <si>
    <t>00241495</t>
  </si>
  <si>
    <t>GLZ03074905</t>
  </si>
  <si>
    <t>00121750312</t>
  </si>
  <si>
    <t>00241482</t>
  </si>
  <si>
    <t>HOLIDAY INN QUERETARO ZONA KRYSTALL</t>
  </si>
  <si>
    <t>GLZ03074910</t>
  </si>
  <si>
    <t>00121750372</t>
  </si>
  <si>
    <t>00241498</t>
  </si>
  <si>
    <t>HOTEL STAYBRIDGE SILAO</t>
  </si>
  <si>
    <t>GLZ03074946</t>
  </si>
  <si>
    <t>00121751008</t>
  </si>
  <si>
    <t>Por Cobrar</t>
  </si>
  <si>
    <t>00241466</t>
  </si>
  <si>
    <t>GLZ03076873</t>
  </si>
  <si>
    <t>00121821660</t>
  </si>
  <si>
    <t>00241437</t>
  </si>
  <si>
    <t>27/07/2026</t>
  </si>
  <si>
    <t>GLZ03076876</t>
  </si>
  <si>
    <t>00121821686</t>
  </si>
  <si>
    <t>00241530</t>
  </si>
  <si>
    <t>HOTEL COLONIAL TULANCINGO</t>
  </si>
  <si>
    <t>GLZ03076880</t>
  </si>
  <si>
    <t>00121821716</t>
  </si>
  <si>
    <t>00241547</t>
  </si>
  <si>
    <t>HOTEL RIAZOR</t>
  </si>
  <si>
    <t>GLZ03076885</t>
  </si>
  <si>
    <t>00121821765</t>
  </si>
  <si>
    <t>00241525</t>
  </si>
  <si>
    <t>COURTYARD CHIHUAHUA (CUUCY)</t>
  </si>
  <si>
    <t>GLZ03076892</t>
  </si>
  <si>
    <t>00121821851</t>
  </si>
  <si>
    <t>00241440</t>
  </si>
  <si>
    <t>GLZ03076906</t>
  </si>
  <si>
    <t>00121821937</t>
  </si>
  <si>
    <t>00241517</t>
  </si>
  <si>
    <t>CITY EXPRESS CIUDAD DE MEXICO ALAMEDA(CEALM)</t>
  </si>
  <si>
    <t>GLZ03076915</t>
  </si>
  <si>
    <t>00121822032</t>
  </si>
  <si>
    <t>00241469</t>
  </si>
  <si>
    <t>CUAUTITLAN, EDO. DE MEX.</t>
  </si>
  <si>
    <t>FIESTA INN CUAUTITLAN(FFICUA)</t>
  </si>
  <si>
    <t>GLZ03076920</t>
  </si>
  <si>
    <t>00121822104</t>
  </si>
  <si>
    <t>00241462</t>
  </si>
  <si>
    <t>HOTEL HAMPTON TORREON</t>
  </si>
  <si>
    <t>GLZ03076922</t>
  </si>
  <si>
    <t>00121822145</t>
  </si>
  <si>
    <t>00241556</t>
  </si>
  <si>
    <t>GLZ03076926</t>
  </si>
  <si>
    <t>00121822179</t>
  </si>
  <si>
    <t>00241532</t>
  </si>
  <si>
    <t>COURTYARD MAZATLAN</t>
  </si>
  <si>
    <t>GLZ03076932</t>
  </si>
  <si>
    <t>00121822236</t>
  </si>
  <si>
    <t>00241422</t>
  </si>
  <si>
    <t>GLZ03076934</t>
  </si>
  <si>
    <t>00121822284</t>
  </si>
  <si>
    <t>00241499</t>
  </si>
  <si>
    <t>HILTON GARDEN INN PUEBLA</t>
  </si>
  <si>
    <t>GLZ03076960</t>
  </si>
  <si>
    <t>00121822780</t>
  </si>
  <si>
    <t>00241572</t>
  </si>
  <si>
    <t>GLZ03076964</t>
  </si>
  <si>
    <t>00121822848</t>
  </si>
  <si>
    <t>00241430</t>
  </si>
  <si>
    <t>GLZ03076969</t>
  </si>
  <si>
    <t>00121822919</t>
  </si>
  <si>
    <t>00241571</t>
  </si>
  <si>
    <t>GLZ03076974</t>
  </si>
  <si>
    <t>00121823003</t>
  </si>
  <si>
    <t>00241561</t>
  </si>
  <si>
    <t>GLZ03076979</t>
  </si>
  <si>
    <t>00121823048</t>
  </si>
  <si>
    <t>00241573</t>
  </si>
  <si>
    <t>CITY JUNIOR CIUDAD DEL CARMEN (CJCME)/CJCDCARME</t>
  </si>
  <si>
    <t>GLZ03076986</t>
  </si>
  <si>
    <t>00121823172</t>
  </si>
  <si>
    <t>00241550</t>
  </si>
  <si>
    <t>CITY EXPRESS PLUS TIJUANA TOREO (CPTIJ)/CP SANCHEZ T</t>
  </si>
  <si>
    <t>GLZ03076989</t>
  </si>
  <si>
    <t>00121823272</t>
  </si>
  <si>
    <t>00241467</t>
  </si>
  <si>
    <t>COURTYARD BY MARRIOTT LEON AT THE POLIFORUM</t>
  </si>
  <si>
    <t>GLZ03076994</t>
  </si>
  <si>
    <t>00121823343</t>
  </si>
  <si>
    <t>00241418</t>
  </si>
  <si>
    <t>MICROTEL CULIACAN</t>
  </si>
  <si>
    <t>GLZ03076997</t>
  </si>
  <si>
    <t>00121823421</t>
  </si>
  <si>
    <t>00241421</t>
  </si>
  <si>
    <t>MICROTEL TOLUCA(TLUMI)</t>
  </si>
  <si>
    <t>GLZ03077001</t>
  </si>
  <si>
    <t>00121823573</t>
  </si>
  <si>
    <t>00241552</t>
  </si>
  <si>
    <t>GLZ03077002</t>
  </si>
  <si>
    <t>00121823595</t>
  </si>
  <si>
    <t>00241455</t>
  </si>
  <si>
    <t>GLZ03077004</t>
  </si>
  <si>
    <t>00121823613</t>
  </si>
  <si>
    <t>00241570</t>
  </si>
  <si>
    <t>GLZ03077006</t>
  </si>
  <si>
    <t>00121823642</t>
  </si>
  <si>
    <t>00241553</t>
  </si>
  <si>
    <t>GLZ03077007</t>
  </si>
  <si>
    <t>00121823649</t>
  </si>
  <si>
    <t>00241423</t>
  </si>
  <si>
    <t>COMFORT INN QUERETARO TECNOLOGICO</t>
  </si>
  <si>
    <t>GLZ03077010</t>
  </si>
  <si>
    <t>00121823716</t>
  </si>
  <si>
    <t>00241419</t>
  </si>
  <si>
    <t>GLZ03077012</t>
  </si>
  <si>
    <t>00121823793</t>
  </si>
  <si>
    <t>00241559</t>
  </si>
  <si>
    <t>GLZ03077013</t>
  </si>
  <si>
    <t>00121823819</t>
  </si>
  <si>
    <t>00241540</t>
  </si>
  <si>
    <t>GLZ03077014</t>
  </si>
  <si>
    <t>00121823846</t>
  </si>
  <si>
    <t>00241566</t>
  </si>
  <si>
    <t>CROWNE PLAZA TLALNEPANTLA</t>
  </si>
  <si>
    <t>GLZ03077221</t>
  </si>
  <si>
    <t>00121843872</t>
  </si>
  <si>
    <t>00241529</t>
  </si>
  <si>
    <t>28/07/2026</t>
  </si>
  <si>
    <t>GLZ03077222</t>
  </si>
  <si>
    <t>00121843849</t>
  </si>
  <si>
    <t>00241458</t>
  </si>
  <si>
    <t>SAN LUIS RIO COLORADO, SON.</t>
  </si>
  <si>
    <t>SAN LUIS RIO COLORADO COMSAN</t>
  </si>
  <si>
    <t>GLZ03077302</t>
  </si>
  <si>
    <t>00121845902</t>
  </si>
  <si>
    <t>00241450</t>
  </si>
  <si>
    <t>VILLAS DEL PALMAR LOS CABOS</t>
  </si>
  <si>
    <t>GLZ03078741</t>
  </si>
  <si>
    <t>00121875910</t>
  </si>
  <si>
    <t>00241574</t>
  </si>
  <si>
    <t>GLZ03078755</t>
  </si>
  <si>
    <t>00121876086</t>
  </si>
  <si>
    <t>00241521</t>
  </si>
  <si>
    <t>GLZ03078768</t>
  </si>
  <si>
    <t>00121876210</t>
  </si>
  <si>
    <t>JYP-162
ATN EMMANUEL PEREZ 
TEL 2214274801</t>
  </si>
  <si>
    <t>00000162</t>
  </si>
  <si>
    <t>REAL 500 HOTEL</t>
  </si>
  <si>
    <t>GLZ03078795</t>
  </si>
  <si>
    <t>00121876422</t>
  </si>
  <si>
    <t>JYP-161
ATN MARY SOTO 
TEL 4646526619</t>
  </si>
  <si>
    <t>00000161</t>
  </si>
  <si>
    <t>HOTEL BELAIR WYNDHAM SALAMANCA</t>
  </si>
  <si>
    <t>GLZ03078799</t>
  </si>
  <si>
    <t>00121876492</t>
  </si>
  <si>
    <t>00241644</t>
  </si>
  <si>
    <t>REAL INN SAN LUIS POTOSI</t>
  </si>
  <si>
    <t>GLZ03081018</t>
  </si>
  <si>
    <t>00121937093</t>
  </si>
  <si>
    <t>00241626</t>
  </si>
  <si>
    <t>CITY EXPRESS PLUS TAMPICO</t>
  </si>
  <si>
    <t>29/07/2026</t>
  </si>
  <si>
    <t>GLZ03081042</t>
  </si>
  <si>
    <t>00121937434</t>
  </si>
  <si>
    <t>00241638</t>
  </si>
  <si>
    <t>SLEEP INN MONTERREY SAN PEDRO</t>
  </si>
  <si>
    <t>GLZ03081056</t>
  </si>
  <si>
    <t>00121937572</t>
  </si>
  <si>
    <t>00241629</t>
  </si>
  <si>
    <t>HOLIDAY INN EXPRESS TUXPAN</t>
  </si>
  <si>
    <t>GLZ03081058</t>
  </si>
  <si>
    <t>00121937630</t>
  </si>
  <si>
    <t>00241628</t>
  </si>
  <si>
    <t>GLZ03081106</t>
  </si>
  <si>
    <t>00121938143</t>
  </si>
  <si>
    <t>00241623</t>
  </si>
  <si>
    <t>GLZ03081154</t>
  </si>
  <si>
    <t>00121938763</t>
  </si>
  <si>
    <t>241324-241426</t>
  </si>
  <si>
    <t>00241324</t>
  </si>
  <si>
    <t>GLZ03081169</t>
  </si>
  <si>
    <t>00121938832</t>
  </si>
  <si>
    <t>00241332</t>
  </si>
  <si>
    <t>DALCE DEL CENTRO</t>
  </si>
  <si>
    <t>GLZ03081325</t>
  </si>
  <si>
    <t>00121940647</t>
  </si>
  <si>
    <t>00241648</t>
  </si>
  <si>
    <t>PRESIDENTE INTERCONTINENTAL PUEBLA</t>
  </si>
  <si>
    <t>GLZ03081425</t>
  </si>
  <si>
    <t>00121941882</t>
  </si>
  <si>
    <t>241624-241625</t>
  </si>
  <si>
    <t>00241624</t>
  </si>
  <si>
    <t>HAMPTON INN CIUDAD JUAREZ</t>
  </si>
  <si>
    <t>GLZ03081793</t>
  </si>
  <si>
    <t>00121968213</t>
  </si>
  <si>
    <t>00241646</t>
  </si>
  <si>
    <t>HOTEL HB CORDOBA</t>
  </si>
  <si>
    <t>30/07/2026</t>
  </si>
  <si>
    <t>GLZ03083752</t>
  </si>
  <si>
    <t>00122004025</t>
  </si>
  <si>
    <t>241580-241604</t>
  </si>
  <si>
    <t>00241580</t>
  </si>
  <si>
    <t>FIESTA INN SAN LUIS POTOSI GLORIETA CENTRO</t>
  </si>
  <si>
    <t>GLZ03083755</t>
  </si>
  <si>
    <t>00122004051</t>
  </si>
  <si>
    <t>00241600</t>
  </si>
  <si>
    <t>HOLIDAY INN RESORT MAZATLAN</t>
  </si>
  <si>
    <t>GLZ03083756</t>
  </si>
  <si>
    <t>00122004103</t>
  </si>
  <si>
    <t>00241605</t>
  </si>
  <si>
    <t>GLZ03083759</t>
  </si>
  <si>
    <t>00122004135</t>
  </si>
  <si>
    <t>00241602</t>
  </si>
  <si>
    <t>GLZ03083761</t>
  </si>
  <si>
    <t>00122004160</t>
  </si>
  <si>
    <t>00241607</t>
  </si>
  <si>
    <t>HAMPTON CELAYA MEXICO</t>
  </si>
  <si>
    <t>GLZ03083764</t>
  </si>
  <si>
    <t>00122004197</t>
  </si>
  <si>
    <t>00241609</t>
  </si>
  <si>
    <t>HAMPTON LEON GUANAJUATO</t>
  </si>
  <si>
    <t>GLZ03083766</t>
  </si>
  <si>
    <t>00122004231</t>
  </si>
  <si>
    <t>00241614</t>
  </si>
  <si>
    <t>GLZ03083767</t>
  </si>
  <si>
    <t>00122004256</t>
  </si>
  <si>
    <t>00241611</t>
  </si>
  <si>
    <t>GLZ03083768</t>
  </si>
  <si>
    <t>00122004277</t>
  </si>
  <si>
    <t>00241612</t>
  </si>
  <si>
    <t>GLZ03083770</t>
  </si>
  <si>
    <t>00122004302</t>
  </si>
  <si>
    <t>00241615</t>
  </si>
  <si>
    <t>GLZ03083773</t>
  </si>
  <si>
    <t>00122004348</t>
  </si>
  <si>
    <t>00241620</t>
  </si>
  <si>
    <t>GLZ03083774</t>
  </si>
  <si>
    <t>00122004401</t>
  </si>
  <si>
    <t>00241657</t>
  </si>
  <si>
    <t>EL MARQUES, QRO.</t>
  </si>
  <si>
    <t>ONE QUERETARO AEROPUERTO</t>
  </si>
  <si>
    <t>GLZ03083776</t>
  </si>
  <si>
    <t>00122004432</t>
  </si>
  <si>
    <t>00241670</t>
  </si>
  <si>
    <t>GLZ03083777</t>
  </si>
  <si>
    <t>00122004457</t>
  </si>
  <si>
    <t>00241678</t>
  </si>
  <si>
    <t>STADIA SUITES MEXICO SANTA FE</t>
  </si>
  <si>
    <t>GLZ03083779</t>
  </si>
  <si>
    <t>00122004484</t>
  </si>
  <si>
    <t>00241679</t>
  </si>
  <si>
    <t>MISION EXPRESS MERIDA</t>
  </si>
  <si>
    <t>GLZ03083781</t>
  </si>
  <si>
    <t>00122004504</t>
  </si>
  <si>
    <t>00241650</t>
  </si>
  <si>
    <t>GLZ03083782</t>
  </si>
  <si>
    <t>00122004528</t>
  </si>
  <si>
    <t>00241658</t>
  </si>
  <si>
    <t>CITY EXPRESS SALAMANCA</t>
  </si>
  <si>
    <t>GLZ03083783</t>
  </si>
  <si>
    <t>00122004569</t>
  </si>
  <si>
    <t>00241654</t>
  </si>
  <si>
    <t>GLZ03083784</t>
  </si>
  <si>
    <t>00122004594</t>
  </si>
  <si>
    <t>00241659</t>
  </si>
  <si>
    <t>GLZ03083785</t>
  </si>
  <si>
    <t>00122004630</t>
  </si>
  <si>
    <t>00241649</t>
  </si>
  <si>
    <t>CITY JUNIOR VILLAHERMOSA</t>
  </si>
  <si>
    <t>GLZ03083786</t>
  </si>
  <si>
    <t>00122004675</t>
  </si>
  <si>
    <t>00241661</t>
  </si>
  <si>
    <t>GLZ03083787</t>
  </si>
  <si>
    <t>00122004692</t>
  </si>
  <si>
    <t>00241660</t>
  </si>
  <si>
    <t>GLZ03083788</t>
  </si>
  <si>
    <t>00122004711</t>
  </si>
  <si>
    <t>00241581</t>
  </si>
  <si>
    <t>GLZ03083791</t>
  </si>
  <si>
    <t>00122004745</t>
  </si>
  <si>
    <t>00241582</t>
  </si>
  <si>
    <t>HOTEL PANORAMA</t>
  </si>
  <si>
    <t>GLZ03083792</t>
  </si>
  <si>
    <t>00122004796</t>
  </si>
  <si>
    <t>00241598</t>
  </si>
  <si>
    <t>CORONANGO, PUE.</t>
  </si>
  <si>
    <t>RAMADA ENCORE PUEBLA</t>
  </si>
  <si>
    <t>GLZ03086109</t>
  </si>
  <si>
    <t>00122081187</t>
  </si>
  <si>
    <t>00241677</t>
  </si>
  <si>
    <t>GLZ03086111</t>
  </si>
  <si>
    <t>00122081238</t>
  </si>
  <si>
    <t>00241667</t>
  </si>
  <si>
    <t>GLZ03086113</t>
  </si>
  <si>
    <t>00122081286</t>
  </si>
  <si>
    <t>00241674</t>
  </si>
  <si>
    <t>GLZ03086114</t>
  </si>
  <si>
    <t>00122081354</t>
  </si>
  <si>
    <t>00241690</t>
  </si>
  <si>
    <t>GLZ03086118</t>
  </si>
  <si>
    <t>00122081508</t>
  </si>
  <si>
    <t>00241665</t>
  </si>
  <si>
    <t>GLZ03086119</t>
  </si>
  <si>
    <t>00122081537</t>
  </si>
  <si>
    <t>00241711</t>
  </si>
  <si>
    <t>HOTEL LUCERNA MEXICALI</t>
  </si>
  <si>
    <t>GLZ03086122</t>
  </si>
  <si>
    <t>00122081710</t>
  </si>
  <si>
    <t>00241712</t>
  </si>
  <si>
    <t>GLZ03086123</t>
  </si>
  <si>
    <t>00122081733</t>
  </si>
  <si>
    <t>00241714</t>
  </si>
  <si>
    <t>HAMPTON INN IRAPUATO</t>
  </si>
  <si>
    <t>GLZ03086125</t>
  </si>
  <si>
    <t>00122081764</t>
  </si>
  <si>
    <t>00241708</t>
  </si>
  <si>
    <t>GLZ03086128</t>
  </si>
  <si>
    <t>00122081797</t>
  </si>
  <si>
    <t>00241707</t>
  </si>
  <si>
    <t>SUNVIVIA</t>
  </si>
  <si>
    <t>GLZ03086131</t>
  </si>
  <si>
    <t>00122081895</t>
  </si>
  <si>
    <t>00241704</t>
  </si>
  <si>
    <t>HAMPTON INN HERMOSILLO</t>
  </si>
  <si>
    <t>GLZ03086132</t>
  </si>
  <si>
    <t>00122081934</t>
  </si>
  <si>
    <t>00241698</t>
  </si>
  <si>
    <t>GLZ03086133</t>
  </si>
  <si>
    <t>00122081966</t>
  </si>
  <si>
    <t>00219513</t>
  </si>
  <si>
    <t>GLZ03086135</t>
  </si>
  <si>
    <t>00122082011</t>
  </si>
  <si>
    <t>00241713</t>
  </si>
  <si>
    <t>GLZ03086137</t>
  </si>
  <si>
    <t>00122082038</t>
  </si>
  <si>
    <t>00241663</t>
  </si>
  <si>
    <t>GLZ03086138</t>
  </si>
  <si>
    <t>00122082070</t>
  </si>
  <si>
    <t>00241736</t>
  </si>
  <si>
    <t>GLZ03086139</t>
  </si>
  <si>
    <t>00122082101</t>
  </si>
  <si>
    <t>00241737</t>
  </si>
  <si>
    <t>GLZ03088254</t>
  </si>
  <si>
    <t>00122151961</t>
  </si>
  <si>
    <t>00241799</t>
  </si>
  <si>
    <t>03/08/2026</t>
  </si>
  <si>
    <t>GLZ03088260</t>
  </si>
  <si>
    <t>00122152028</t>
  </si>
  <si>
    <t>00241749</t>
  </si>
  <si>
    <t>HOTEL FONTAN REFORMA</t>
  </si>
  <si>
    <t>GLZ03088270</t>
  </si>
  <si>
    <t>00122152097</t>
  </si>
  <si>
    <t>00241743</t>
  </si>
  <si>
    <t>MAZATLAN COMSAN</t>
  </si>
  <si>
    <t>GLZ03088279</t>
  </si>
  <si>
    <t>00122152206</t>
  </si>
  <si>
    <t>00241742</t>
  </si>
  <si>
    <t>OBREGON COMSAN</t>
  </si>
  <si>
    <t>GLZ03088284</t>
  </si>
  <si>
    <t>00122152274</t>
  </si>
  <si>
    <t>00241750</t>
  </si>
  <si>
    <t>HOTEL FERIA JALISCIENCE</t>
  </si>
  <si>
    <t>GLZ03088291</t>
  </si>
  <si>
    <t>00122152348</t>
  </si>
  <si>
    <t>00240958</t>
  </si>
  <si>
    <t>GLZ03088314</t>
  </si>
  <si>
    <t>00122152503</t>
  </si>
  <si>
    <t>00241764</t>
  </si>
  <si>
    <t>HOTEL GOBERNADOR ( RECEPCION )</t>
  </si>
  <si>
    <t>GLZ03088326</t>
  </si>
  <si>
    <t>00122152609</t>
  </si>
  <si>
    <t>00241773</t>
  </si>
  <si>
    <t>CASA INN PREMIUM HOTEL QUERETARO</t>
  </si>
  <si>
    <t>GLZ03088337</t>
  </si>
  <si>
    <t>00122152723</t>
  </si>
  <si>
    <t>00241781</t>
  </si>
  <si>
    <t>HOTEL SENTENARIO</t>
  </si>
  <si>
    <t>GLZ03088352</t>
  </si>
  <si>
    <t>00122152814</t>
  </si>
  <si>
    <t>00241780</t>
  </si>
  <si>
    <t>GLZ03088360</t>
  </si>
  <si>
    <t>00122152895</t>
  </si>
  <si>
    <t>00241783</t>
  </si>
  <si>
    <t>HOTEL PERLA (TAPESTRY LA PAZ Y SAN JOSE)</t>
  </si>
  <si>
    <t>GLZ03088379</t>
  </si>
  <si>
    <t>00122153048</t>
  </si>
  <si>
    <t>00241798</t>
  </si>
  <si>
    <t>SOLAYA HOSPITALITY MANAGEMENT GROUP</t>
  </si>
  <si>
    <t>GLZ03088390</t>
  </si>
  <si>
    <t>00122153133</t>
  </si>
  <si>
    <t>00241809</t>
  </si>
  <si>
    <t>JALOSTOTITLAN,JAL</t>
  </si>
  <si>
    <t>HOTEL GRALTA PROYECTOS AGT</t>
  </si>
  <si>
    <t>GLZ03088402</t>
  </si>
  <si>
    <t>00122153316</t>
  </si>
  <si>
    <t>ATN FEDERICO RANGEL</t>
  </si>
  <si>
    <t>FRACEAR GLOBAL</t>
  </si>
  <si>
    <t>GLZ03088426</t>
  </si>
  <si>
    <t>00122153604</t>
  </si>
  <si>
    <t>JYP 169</t>
  </si>
  <si>
    <t>00000169</t>
  </si>
  <si>
    <t>GRUPO POSADAS</t>
  </si>
  <si>
    <t>GLZ03088436</t>
  </si>
  <si>
    <t>00122153662</t>
  </si>
  <si>
    <t>JYP 171</t>
  </si>
  <si>
    <t>00000171</t>
  </si>
  <si>
    <t>GLZ03088445</t>
  </si>
  <si>
    <t>00122153784</t>
  </si>
  <si>
    <t>00241782</t>
  </si>
  <si>
    <t>GLZ03090277</t>
  </si>
  <si>
    <t>00122206199</t>
  </si>
  <si>
    <t>00241838</t>
  </si>
  <si>
    <t>04/08/2026</t>
  </si>
  <si>
    <t>GLZ03090298</t>
  </si>
  <si>
    <t>00122206508</t>
  </si>
  <si>
    <t>00241839</t>
  </si>
  <si>
    <t>HOTEL PACIFICA RESORT IXTAPA</t>
  </si>
  <si>
    <t>GLZ03090305</t>
  </si>
  <si>
    <t>00122206628</t>
  </si>
  <si>
    <t>00241841</t>
  </si>
  <si>
    <t>GLZ03090312</t>
  </si>
  <si>
    <t>00122206712</t>
  </si>
  <si>
    <t>00241842</t>
  </si>
  <si>
    <t>GLZ03090319</t>
  </si>
  <si>
    <t>00122206776</t>
  </si>
  <si>
    <t>00241843</t>
  </si>
  <si>
    <t>HAMPTON SALAMANCA BAJIO</t>
  </si>
  <si>
    <t>GLZ03090326</t>
  </si>
  <si>
    <t>00122206825</t>
  </si>
  <si>
    <t>00241846</t>
  </si>
  <si>
    <t>FIESTA INN TOLUCA TOLLOCAN</t>
  </si>
  <si>
    <t>GLZ03090336</t>
  </si>
  <si>
    <t>00122206901</t>
  </si>
  <si>
    <t>00241847</t>
  </si>
  <si>
    <t>GLZ03090345</t>
  </si>
  <si>
    <t>00122206985</t>
  </si>
  <si>
    <t>241861º</t>
  </si>
  <si>
    <t>00241861</t>
  </si>
  <si>
    <t>GLZ03090367</t>
  </si>
  <si>
    <t>00122207140</t>
  </si>
  <si>
    <t>00241869</t>
  </si>
  <si>
    <t>FIESTA INN AEROPUERTO FIAPT</t>
  </si>
  <si>
    <t>GLZ03090375</t>
  </si>
  <si>
    <t>00122207207</t>
  </si>
  <si>
    <t>00241870</t>
  </si>
  <si>
    <t>GLZ03090383</t>
  </si>
  <si>
    <t>00122207255</t>
  </si>
  <si>
    <t>00241871</t>
  </si>
  <si>
    <t>GLZ03090386</t>
  </si>
  <si>
    <t>00122207302</t>
  </si>
  <si>
    <t>00241872</t>
  </si>
  <si>
    <t>FIESTA INN INSURGENTES SUR</t>
  </si>
  <si>
    <t>GLZ03090391</t>
  </si>
  <si>
    <t>00122207378</t>
  </si>
  <si>
    <t>00241873</t>
  </si>
  <si>
    <t>ONE XALAPA (1JLPA)</t>
  </si>
  <si>
    <t>GLZ03090393</t>
  </si>
  <si>
    <t>00122207429</t>
  </si>
  <si>
    <t>00241874</t>
  </si>
  <si>
    <t>FIESTA INN MORELIA ALTOZANO</t>
  </si>
  <si>
    <t>GLZ03090400</t>
  </si>
  <si>
    <t>00122207497</t>
  </si>
  <si>
    <t>00241876</t>
  </si>
  <si>
    <t>ONE FASHION MALL CHIHUAHUA</t>
  </si>
  <si>
    <t>GLZ03090405</t>
  </si>
  <si>
    <t>00122207531</t>
  </si>
  <si>
    <t>00241877</t>
  </si>
  <si>
    <t>GLZ03090408</t>
  </si>
  <si>
    <t>00122207577</t>
  </si>
  <si>
    <t>00241880</t>
  </si>
  <si>
    <t>GLZ03090414</t>
  </si>
  <si>
    <t>00122207682</t>
  </si>
  <si>
    <t>00241887</t>
  </si>
  <si>
    <t>HILTON GARDEN INN TIJUANA</t>
  </si>
  <si>
    <t>GLZ03090423</t>
  </si>
  <si>
    <t>00122207805</t>
  </si>
  <si>
    <t>00241888</t>
  </si>
  <si>
    <t>GLZ03090425</t>
  </si>
  <si>
    <t>00122207871</t>
  </si>
  <si>
    <t>00241903</t>
  </si>
  <si>
    <t>GLZ03090436</t>
  </si>
  <si>
    <t>00122208102</t>
  </si>
  <si>
    <t>00241911</t>
  </si>
  <si>
    <t>GLZ03090454</t>
  </si>
  <si>
    <t>00122208146</t>
  </si>
  <si>
    <t>00241913</t>
  </si>
  <si>
    <t>GLZ03090460</t>
  </si>
  <si>
    <t>00122208184</t>
  </si>
  <si>
    <t>00241918</t>
  </si>
  <si>
    <t>GLZ03090469</t>
  </si>
  <si>
    <t>00122208243</t>
  </si>
  <si>
    <t>00241920</t>
  </si>
  <si>
    <t>GLZ03090470</t>
  </si>
  <si>
    <t>00122208328</t>
  </si>
  <si>
    <t>00241923</t>
  </si>
  <si>
    <t>CITY JUNIOR TUXTLA GUTIERREZ POLIFORUM</t>
  </si>
  <si>
    <t>GLZ03090480</t>
  </si>
  <si>
    <t>00122208395</t>
  </si>
  <si>
    <t>00241924</t>
  </si>
  <si>
    <t>GLZ03090486</t>
  </si>
  <si>
    <t>00122208467</t>
  </si>
  <si>
    <t>00241925</t>
  </si>
  <si>
    <t>GLZ03090498</t>
  </si>
  <si>
    <t>00122208557</t>
  </si>
  <si>
    <t>00241926</t>
  </si>
  <si>
    <t>GLZ03090501</t>
  </si>
  <si>
    <t>00122208622</t>
  </si>
  <si>
    <t>00241932</t>
  </si>
  <si>
    <t>GLZ03092780</t>
  </si>
  <si>
    <t>00122298005</t>
  </si>
  <si>
    <t>00242026</t>
  </si>
  <si>
    <t>HAMPTON INN MERIDA</t>
  </si>
  <si>
    <t>05/08/2026</t>
  </si>
  <si>
    <t>GLZ03092783</t>
  </si>
  <si>
    <t>00122298066</t>
  </si>
  <si>
    <t>00241848</t>
  </si>
  <si>
    <t>TLALPAN, CDMX.</t>
  </si>
  <si>
    <t>CITY PLUS PERIFERICO SUR TLALPAN</t>
  </si>
  <si>
    <t>GLZ03092789</t>
  </si>
  <si>
    <t>00122298107</t>
  </si>
  <si>
    <t>00241917</t>
  </si>
  <si>
    <t>GLZ03092792</t>
  </si>
  <si>
    <t>00122298162</t>
  </si>
  <si>
    <t>00242015</t>
  </si>
  <si>
    <t>GLZ03092798</t>
  </si>
  <si>
    <t>00122298230</t>
  </si>
  <si>
    <t>00241900</t>
  </si>
  <si>
    <t>GLZ03092804</t>
  </si>
  <si>
    <t>00122298318</t>
  </si>
  <si>
    <t>00241899</t>
  </si>
  <si>
    <t>GLZ03092813</t>
  </si>
  <si>
    <t>00122298440</t>
  </si>
  <si>
    <t>00241898</t>
  </si>
  <si>
    <t>GLZ03092817</t>
  </si>
  <si>
    <t>00122298519</t>
  </si>
  <si>
    <t>00241895</t>
  </si>
  <si>
    <t>GLZ03092821</t>
  </si>
  <si>
    <t>00122298583</t>
  </si>
  <si>
    <t>00241894</t>
  </si>
  <si>
    <t>GLZ03092824</t>
  </si>
  <si>
    <t>00122298660</t>
  </si>
  <si>
    <t>00241893</t>
  </si>
  <si>
    <t>CITY JUNIOR ZONA INDUSTRIAL</t>
  </si>
  <si>
    <t>GLZ03092827</t>
  </si>
  <si>
    <t>00122298723</t>
  </si>
  <si>
    <t>00241855</t>
  </si>
  <si>
    <t>GLZ03092833</t>
  </si>
  <si>
    <t>00122298767</t>
  </si>
  <si>
    <t>00241909</t>
  </si>
  <si>
    <t>GLZ03092836</t>
  </si>
  <si>
    <t>00122298807</t>
  </si>
  <si>
    <t>00241908</t>
  </si>
  <si>
    <t>GLZ03092840</t>
  </si>
  <si>
    <t>00122298867</t>
  </si>
  <si>
    <t>00241907</t>
  </si>
  <si>
    <t>GLZ03092846</t>
  </si>
  <si>
    <t>00122298931</t>
  </si>
  <si>
    <t>00241905</t>
  </si>
  <si>
    <t>GLZ03092848</t>
  </si>
  <si>
    <t>00122298975</t>
  </si>
  <si>
    <t>00241904</t>
  </si>
  <si>
    <t>GLZ03092851</t>
  </si>
  <si>
    <t>00122299038</t>
  </si>
  <si>
    <t>00241902</t>
  </si>
  <si>
    <t>CITY EXPRESS ENSENADA (CEESE)</t>
  </si>
  <si>
    <t>GLZ03092853</t>
  </si>
  <si>
    <t>00122299071</t>
  </si>
  <si>
    <t>00241901</t>
  </si>
  <si>
    <t>GLZ03092859</t>
  </si>
  <si>
    <t>00122299114</t>
  </si>
  <si>
    <t>00241914</t>
  </si>
  <si>
    <t>GLZ03092861</t>
  </si>
  <si>
    <t>00122299184</t>
  </si>
  <si>
    <t>00241915</t>
  </si>
  <si>
    <t>GLZ03092866</t>
  </si>
  <si>
    <t>00122299228</t>
  </si>
  <si>
    <t>00242054</t>
  </si>
  <si>
    <t>GLZ03092869</t>
  </si>
  <si>
    <t>00122299274</t>
  </si>
  <si>
    <t>00242056</t>
  </si>
  <si>
    <t>GLZ03092874</t>
  </si>
  <si>
    <t>00122299306</t>
  </si>
  <si>
    <t>241850º</t>
  </si>
  <si>
    <t>00241850</t>
  </si>
  <si>
    <t>CITY EXPRESS PARAISO</t>
  </si>
  <si>
    <t>GLZ03092878</t>
  </si>
  <si>
    <t>00122299375</t>
  </si>
  <si>
    <t>00242034</t>
  </si>
  <si>
    <t>HOTEL PARIS FC VERACRUZ</t>
  </si>
  <si>
    <t>GLZ03092882</t>
  </si>
  <si>
    <t>00122299424</t>
  </si>
  <si>
    <t>00242038</t>
  </si>
  <si>
    <t>HOTEL ZAR MANZANILLO</t>
  </si>
  <si>
    <t>GLZ03092885</t>
  </si>
  <si>
    <t>00122299473</t>
  </si>
  <si>
    <t>00242044</t>
  </si>
  <si>
    <t>GLZ03092890</t>
  </si>
  <si>
    <t>00122299519</t>
  </si>
  <si>
    <t>00242049</t>
  </si>
  <si>
    <t>HOTEL FRAY JUNIPERO</t>
  </si>
  <si>
    <t>GLZ03092893</t>
  </si>
  <si>
    <t>00122299552</t>
  </si>
  <si>
    <t>00242051</t>
  </si>
  <si>
    <t>REAL INN NUEVO LAREDO</t>
  </si>
  <si>
    <t>GLZ03092895</t>
  </si>
  <si>
    <t>00122299590</t>
  </si>
  <si>
    <t>00242033</t>
  </si>
  <si>
    <t>GLZ03092900</t>
  </si>
  <si>
    <t>00122299654</t>
  </si>
  <si>
    <t>00242031</t>
  </si>
  <si>
    <t>CROWNE PLAZA VILLAHERMOSA</t>
  </si>
  <si>
    <t>GLZ03092901</t>
  </si>
  <si>
    <t>00122299699</t>
  </si>
  <si>
    <t>00242032</t>
  </si>
  <si>
    <t>GLZ03092906</t>
  </si>
  <si>
    <t>00122299811</t>
  </si>
  <si>
    <t>00242021</t>
  </si>
  <si>
    <t>VILLAS DEL PALMAR LOS CABOS /OMAR GARZA</t>
  </si>
  <si>
    <t>GLZ03092909</t>
  </si>
  <si>
    <t>00122299844</t>
  </si>
  <si>
    <t>00242022</t>
  </si>
  <si>
    <t>GLZ03092911</t>
  </si>
  <si>
    <t>00122299881</t>
  </si>
  <si>
    <t>00242025</t>
  </si>
  <si>
    <t>CASA INN BUSINESS HOTEL IRAPUATO</t>
  </si>
  <si>
    <t>GLZ03092916</t>
  </si>
  <si>
    <t>00122299923</t>
  </si>
  <si>
    <t>00242013</t>
  </si>
  <si>
    <t>GLZ03092919</t>
  </si>
  <si>
    <t>00122299953</t>
  </si>
  <si>
    <t>00242014</t>
  </si>
  <si>
    <t>GLZ03092920</t>
  </si>
  <si>
    <t>00122300001</t>
  </si>
  <si>
    <t>00241994</t>
  </si>
  <si>
    <t>GLZ03092921</t>
  </si>
  <si>
    <t>00122300033</t>
  </si>
  <si>
    <t>00241995</t>
  </si>
  <si>
    <t>GLZ03092923</t>
  </si>
  <si>
    <t>00122300072</t>
  </si>
  <si>
    <t>00241997</t>
  </si>
  <si>
    <t>GLZ03092927</t>
  </si>
  <si>
    <t>00122300129</t>
  </si>
  <si>
    <t>00241998</t>
  </si>
  <si>
    <t>GLZ03092929</t>
  </si>
  <si>
    <t>00122300195</t>
  </si>
  <si>
    <t>00241999</t>
  </si>
  <si>
    <t>EXTENDED SUITES CIUDAD DEL CARMEN AEROPUERTO</t>
  </si>
  <si>
    <t>GLZ03092931</t>
  </si>
  <si>
    <t>00122300229</t>
  </si>
  <si>
    <t>00242000</t>
  </si>
  <si>
    <t>GLZ03092933</t>
  </si>
  <si>
    <t>00122300274</t>
  </si>
  <si>
    <t>00242002</t>
  </si>
  <si>
    <t>GLZ03092938</t>
  </si>
  <si>
    <t>00122300323</t>
  </si>
  <si>
    <t>00242006</t>
  </si>
  <si>
    <t>GLZ03092940</t>
  </si>
  <si>
    <t>00122300357</t>
  </si>
  <si>
    <t>00242008</t>
  </si>
  <si>
    <t>GLZ03092945</t>
  </si>
  <si>
    <t>00122300404</t>
  </si>
  <si>
    <t>00242010</t>
  </si>
  <si>
    <t>GLZ03092946</t>
  </si>
  <si>
    <t>00122300446</t>
  </si>
  <si>
    <t>00241973</t>
  </si>
  <si>
    <t>GLZ03092950</t>
  </si>
  <si>
    <t>00122300490</t>
  </si>
  <si>
    <t>00241976</t>
  </si>
  <si>
    <t>GLZ03092976</t>
  </si>
  <si>
    <t>00122301193</t>
  </si>
  <si>
    <t>00241985</t>
  </si>
  <si>
    <t>GLZ03092979</t>
  </si>
  <si>
    <t>00122301262</t>
  </si>
  <si>
    <t>00241988</t>
  </si>
  <si>
    <t>HAMPTON INN PIEDRAS NEGRAS</t>
  </si>
  <si>
    <t>GLZ03092981</t>
  </si>
  <si>
    <t>00122301344</t>
  </si>
  <si>
    <t>00241992</t>
  </si>
  <si>
    <t>WYNDHAM EXECUTIVO CULIACAN</t>
  </si>
  <si>
    <t>GLZ03092986</t>
  </si>
  <si>
    <t>00122301568</t>
  </si>
  <si>
    <t>00241951</t>
  </si>
  <si>
    <t>FIESTA INN CIUDAD DEL CARMEN</t>
  </si>
  <si>
    <t>GLZ03092988</t>
  </si>
  <si>
    <t>00122301612</t>
  </si>
  <si>
    <t>00241953</t>
  </si>
  <si>
    <t>FIESTA INN QUERETARO</t>
  </si>
  <si>
    <t>GLZ03092989</t>
  </si>
  <si>
    <t>00122301678</t>
  </si>
  <si>
    <t>00241965</t>
  </si>
  <si>
    <t>GLZ03092991</t>
  </si>
  <si>
    <t>00122301980</t>
  </si>
  <si>
    <t>00241968</t>
  </si>
  <si>
    <t>GLZ03092993</t>
  </si>
  <si>
    <t>00122302054</t>
  </si>
  <si>
    <t>00241970</t>
  </si>
  <si>
    <t>GLZ03092994</t>
  </si>
  <si>
    <t>00122302109</t>
  </si>
  <si>
    <t>00241971</t>
  </si>
  <si>
    <t>GLZ03092998</t>
  </si>
  <si>
    <t>00122302239</t>
  </si>
  <si>
    <t>00241972</t>
  </si>
  <si>
    <t>HILTON GARDEN INN TUXLTA GUTIERREZ</t>
  </si>
  <si>
    <t>GLZ03092999</t>
  </si>
  <si>
    <t>00122302307</t>
  </si>
  <si>
    <t>00241788</t>
  </si>
  <si>
    <t>GLZ03093001</t>
  </si>
  <si>
    <t>00122302330</t>
  </si>
  <si>
    <t>00241837</t>
  </si>
  <si>
    <t>COURTYARD MARRIOT HERMOSILLO</t>
  </si>
  <si>
    <t>GLZ03093003</t>
  </si>
  <si>
    <t>00122302349</t>
  </si>
  <si>
    <t>00241935</t>
  </si>
  <si>
    <t>GLZ03093005</t>
  </si>
  <si>
    <t>00122302384</t>
  </si>
  <si>
    <t>00241936</t>
  </si>
  <si>
    <t>GLZ03093007</t>
  </si>
  <si>
    <t>00122302430</t>
  </si>
  <si>
    <t>00241937</t>
  </si>
  <si>
    <t>GLZ03093008</t>
  </si>
  <si>
    <t>00122302499</t>
  </si>
  <si>
    <t>00241938</t>
  </si>
  <si>
    <t>GLZ03093009</t>
  </si>
  <si>
    <t>00122302572</t>
  </si>
  <si>
    <t>00241939</t>
  </si>
  <si>
    <t>INSUMOS DE LA LIMPIEZA E HIGIENE</t>
  </si>
  <si>
    <t>GLZ03093011</t>
  </si>
  <si>
    <t>00122302609</t>
  </si>
  <si>
    <t>00241947</t>
  </si>
  <si>
    <t>FIESTA AMERICANA GRAND LOS CABOS FALC</t>
  </si>
  <si>
    <t>GLZ03093178</t>
  </si>
  <si>
    <t>00122326790</t>
  </si>
  <si>
    <t>00242012</t>
  </si>
  <si>
    <t>06/08/2026</t>
  </si>
  <si>
    <t>GLZ03093180</t>
  </si>
  <si>
    <t>00122326939</t>
  </si>
  <si>
    <t>00242001</t>
  </si>
  <si>
    <t>GLZ03093183</t>
  </si>
  <si>
    <t>00122327000</t>
  </si>
  <si>
    <t>00241906</t>
  </si>
  <si>
    <t>GLZ03094756</t>
  </si>
  <si>
    <t>00122360274</t>
  </si>
  <si>
    <t>242156º</t>
  </si>
  <si>
    <t>00242156</t>
  </si>
  <si>
    <t>GAVIANNA MAZATLAN</t>
  </si>
  <si>
    <t>GLZ03094764</t>
  </si>
  <si>
    <t>00122360357</t>
  </si>
  <si>
    <t>00242101</t>
  </si>
  <si>
    <t>WYNDHAM GARDEN MAZATLAN</t>
  </si>
  <si>
    <t>GLZ03094766</t>
  </si>
  <si>
    <t>00122360434</t>
  </si>
  <si>
    <t>00242100</t>
  </si>
  <si>
    <t>HOLIDAY INN EXPRESS &amp; SUITES MONTERREY AEROPUERTO</t>
  </si>
  <si>
    <t>GLZ03094773</t>
  </si>
  <si>
    <t>00122360530</t>
  </si>
  <si>
    <t>00242152</t>
  </si>
  <si>
    <t>GLZ03095017</t>
  </si>
  <si>
    <t>00122363423</t>
  </si>
  <si>
    <t>00241975</t>
  </si>
  <si>
    <t>JYPESA CEDIS PLAYA DEL CARMEN/SATURTINO PAVON</t>
  </si>
  <si>
    <t>GLZ03096955</t>
  </si>
  <si>
    <t>00122420911</t>
  </si>
  <si>
    <t>00242098</t>
  </si>
  <si>
    <t>SATURNINO PAVON // PEDRO PRUDHOMME</t>
  </si>
  <si>
    <t>07/08/2026</t>
  </si>
  <si>
    <t>GLZ03096977</t>
  </si>
  <si>
    <t>00122421116</t>
  </si>
  <si>
    <t>242073º</t>
  </si>
  <si>
    <t>00242073</t>
  </si>
  <si>
    <t>GLZ03096988</t>
  </si>
  <si>
    <t>00122421191</t>
  </si>
  <si>
    <t>00242074</t>
  </si>
  <si>
    <t>GLZ03096991</t>
  </si>
  <si>
    <t>00122421244</t>
  </si>
  <si>
    <t>00242087</t>
  </si>
  <si>
    <t>HOLIDAY INN CUERNAVACA</t>
  </si>
  <si>
    <t>GLZ03096995</t>
  </si>
  <si>
    <t>00122421312</t>
  </si>
  <si>
    <t>00242088</t>
  </si>
  <si>
    <t>HOLIDAY INN EXPRESS VILLAHERMOSA TABASCO 2000</t>
  </si>
  <si>
    <t>GLZ03096999</t>
  </si>
  <si>
    <t>00122421375</t>
  </si>
  <si>
    <t>00242092</t>
  </si>
  <si>
    <t>GLZ03097002</t>
  </si>
  <si>
    <t>00122421428</t>
  </si>
  <si>
    <t>00242093</t>
  </si>
  <si>
    <t>CITY EXPRESS PLUS MAZATLAN (CPMZT)</t>
  </si>
  <si>
    <t>GLZ03097009</t>
  </si>
  <si>
    <t>00122421575</t>
  </si>
  <si>
    <t>00242099</t>
  </si>
  <si>
    <t>COURTYARD MEXICO CITY REVOLUCION</t>
  </si>
  <si>
    <t xml:space="preserve"> 407</t>
  </si>
  <si>
    <t>GLZ03097026</t>
  </si>
  <si>
    <t>00122421761</t>
  </si>
  <si>
    <t>00242072</t>
  </si>
  <si>
    <t>GLZ03097032</t>
  </si>
  <si>
    <t>00122421828</t>
  </si>
  <si>
    <t>00242069</t>
  </si>
  <si>
    <t>GLZ03097035</t>
  </si>
  <si>
    <t>00122421864</t>
  </si>
  <si>
    <t>00242110</t>
  </si>
  <si>
    <t>GLZ03097039</t>
  </si>
  <si>
    <t>00122421930</t>
  </si>
  <si>
    <t>00242111</t>
  </si>
  <si>
    <t>CITY PLUS REFORMA DEL ANGEL</t>
  </si>
  <si>
    <t>GLZ03097044</t>
  </si>
  <si>
    <t>00122421989</t>
  </si>
  <si>
    <t>00242114</t>
  </si>
  <si>
    <t>HOMEWOOD SUITES QUERETARO</t>
  </si>
  <si>
    <t>GLZ03097048</t>
  </si>
  <si>
    <t>00122422047</t>
  </si>
  <si>
    <t>00242115</t>
  </si>
  <si>
    <t>LINEAS INTERNACIONALES TIJUANA</t>
  </si>
  <si>
    <t>GLZ03097059</t>
  </si>
  <si>
    <t>00122422114</t>
  </si>
  <si>
    <t>00242119</t>
  </si>
  <si>
    <t>GLZ03097065</t>
  </si>
  <si>
    <t>00122422159</t>
  </si>
  <si>
    <t>00242121</t>
  </si>
  <si>
    <t>HOTEL LE BLANC LOS CABOS</t>
  </si>
  <si>
    <t>GLZ03097073</t>
  </si>
  <si>
    <t>00122422226</t>
  </si>
  <si>
    <t>00242122</t>
  </si>
  <si>
    <t>GLZ03097077</t>
  </si>
  <si>
    <t>00122422292</t>
  </si>
  <si>
    <t>00242123</t>
  </si>
  <si>
    <t>GLZ03097085</t>
  </si>
  <si>
    <t>00122422333</t>
  </si>
  <si>
    <t>00242125</t>
  </si>
  <si>
    <t>SLEEP INN MEXICO</t>
  </si>
  <si>
    <t>GLZ03097091</t>
  </si>
  <si>
    <t>00122422389</t>
  </si>
  <si>
    <t>00242128</t>
  </si>
  <si>
    <t>GLZ03097094</t>
  </si>
  <si>
    <t>00122422448</t>
  </si>
  <si>
    <t>00242129</t>
  </si>
  <si>
    <t>GLZ03097100</t>
  </si>
  <si>
    <t>00122422498</t>
  </si>
  <si>
    <t>00242131</t>
  </si>
  <si>
    <t>GLZ03097104</t>
  </si>
  <si>
    <t>00122422554</t>
  </si>
  <si>
    <t>00242133</t>
  </si>
  <si>
    <t>GLZ03097107</t>
  </si>
  <si>
    <t>00122422588</t>
  </si>
  <si>
    <t>00242136</t>
  </si>
  <si>
    <t>GLZ03097108</t>
  </si>
  <si>
    <t>00122422623</t>
  </si>
  <si>
    <t>00242137</t>
  </si>
  <si>
    <t>GLZ03097582</t>
  </si>
  <si>
    <t>00122453038</t>
  </si>
  <si>
    <t>00242174</t>
  </si>
  <si>
    <t>COUTYARD MARRIOT VILLAHERMOSA TABASCO</t>
  </si>
  <si>
    <t>GLZ03097586</t>
  </si>
  <si>
    <t>00122453092</t>
  </si>
  <si>
    <t>00242173</t>
  </si>
  <si>
    <t>GLZ03097593</t>
  </si>
  <si>
    <t>00122453201</t>
  </si>
  <si>
    <t>00242172</t>
  </si>
  <si>
    <t>GLZ03097598</t>
  </si>
  <si>
    <t>00122453257</t>
  </si>
  <si>
    <t>00242177</t>
  </si>
  <si>
    <t>GLZ03097602</t>
  </si>
  <si>
    <t>00122453312</t>
  </si>
  <si>
    <t>00242171</t>
  </si>
  <si>
    <t>GLZ03097608</t>
  </si>
  <si>
    <t>00122453402</t>
  </si>
  <si>
    <t>00242165</t>
  </si>
  <si>
    <t>GLZ03097616</t>
  </si>
  <si>
    <t>00122453545</t>
  </si>
  <si>
    <t>00000015</t>
  </si>
  <si>
    <t>TENANGO DEL VALLE, EDO. DE MEXICO</t>
  </si>
  <si>
    <t>NAYELLI GONZALEZ LUNA</t>
  </si>
  <si>
    <t>GLZ03099665</t>
  </si>
  <si>
    <t>00122525722</t>
  </si>
  <si>
    <t>00219683</t>
  </si>
  <si>
    <t>10/08/2026</t>
  </si>
  <si>
    <t>GLZ03099669</t>
  </si>
  <si>
    <t>00122525751</t>
  </si>
  <si>
    <t>00219689</t>
  </si>
  <si>
    <t>GLZ03099676</t>
  </si>
  <si>
    <t>00122525804</t>
  </si>
  <si>
    <t>00219662</t>
  </si>
  <si>
    <t>GLZ03099682</t>
  </si>
  <si>
    <t>00122525869</t>
  </si>
  <si>
    <t>00219693</t>
  </si>
  <si>
    <t>BARCELO IXTAPA BEACH RESORTS</t>
  </si>
  <si>
    <t>GLZ03099690</t>
  </si>
  <si>
    <t>00122525965</t>
  </si>
  <si>
    <t>00219863</t>
  </si>
  <si>
    <t>GLZ03099696</t>
  </si>
  <si>
    <t>00122526009</t>
  </si>
  <si>
    <t>00242198</t>
  </si>
  <si>
    <t>GLZ03099698</t>
  </si>
  <si>
    <t>00122526040</t>
  </si>
  <si>
    <t>00242201</t>
  </si>
  <si>
    <t>COURTYARD MARRIOT VILLAHERMOSA TABASCO</t>
  </si>
  <si>
    <t>GLZ03099701</t>
  </si>
  <si>
    <t>00122526074</t>
  </si>
  <si>
    <t>00242208</t>
  </si>
  <si>
    <t>GLZ03099705</t>
  </si>
  <si>
    <t>00122526115</t>
  </si>
  <si>
    <t>00242212</t>
  </si>
  <si>
    <t>HAMPTON INN BY HILTON VILLAHERMOSA</t>
  </si>
  <si>
    <t>GLZ03099709</t>
  </si>
  <si>
    <t>00122526161</t>
  </si>
  <si>
    <t>00242215</t>
  </si>
  <si>
    <t>GLZ03099715</t>
  </si>
  <si>
    <t>00122526191</t>
  </si>
  <si>
    <t>00242221</t>
  </si>
  <si>
    <t xml:space="preserve"> 451</t>
  </si>
  <si>
    <t>GLZ03099716</t>
  </si>
  <si>
    <t>00122526227</t>
  </si>
  <si>
    <t>00242222</t>
  </si>
  <si>
    <t>GAMMA VILLAHERMOSA</t>
  </si>
  <si>
    <t>GLZ03099720</t>
  </si>
  <si>
    <t>00122526271</t>
  </si>
  <si>
    <t>00242227</t>
  </si>
  <si>
    <t>GLZ03099726</t>
  </si>
  <si>
    <t>00122526301</t>
  </si>
  <si>
    <t>00242237</t>
  </si>
  <si>
    <t>HOLIDAY INN EXPRESS SALTILLO</t>
  </si>
  <si>
    <t>GLZ03099731</t>
  </si>
  <si>
    <t>00122526325</t>
  </si>
  <si>
    <t>00242246</t>
  </si>
  <si>
    <t>GLZ03099733</t>
  </si>
  <si>
    <t>00122526373</t>
  </si>
  <si>
    <t>00242248</t>
  </si>
  <si>
    <t>HOLIDAY INN EXPRESS MAZATLAN</t>
  </si>
  <si>
    <t>GLZ03099734</t>
  </si>
  <si>
    <t>00122526382</t>
  </si>
  <si>
    <t>00242182</t>
  </si>
  <si>
    <t>GLZ03099740</t>
  </si>
  <si>
    <t>00122526423</t>
  </si>
  <si>
    <t>00242252</t>
  </si>
  <si>
    <t>HOLIDAY INN EXPRESS TUXTLA GUTIERREZ LA MARIMBA</t>
  </si>
  <si>
    <t>GLZ03099742</t>
  </si>
  <si>
    <t>00122526437</t>
  </si>
  <si>
    <t>00242183</t>
  </si>
  <si>
    <t>CITY JUNIOR SAN LUIS POTOSI CARRANZA (CJSLP)</t>
  </si>
  <si>
    <t>GLZ03099747</t>
  </si>
  <si>
    <t>00122526493</t>
  </si>
  <si>
    <t>00242254</t>
  </si>
  <si>
    <t>HOTEL ALBOR TAPESTRY COLLECTION BY HILTON</t>
  </si>
  <si>
    <t>GLZ03099750</t>
  </si>
  <si>
    <t>00122526530</t>
  </si>
  <si>
    <t>00242185</t>
  </si>
  <si>
    <t>GLZ03099752</t>
  </si>
  <si>
    <t>00122526535</t>
  </si>
  <si>
    <t>00242262</t>
  </si>
  <si>
    <t>GLZ03099761</t>
  </si>
  <si>
    <t>00122526597</t>
  </si>
  <si>
    <t>00242186</t>
  </si>
  <si>
    <t>CITY EXPRESS DE LAGOS DE MORENO</t>
  </si>
  <si>
    <t>GLZ03099770</t>
  </si>
  <si>
    <t>00122526667</t>
  </si>
  <si>
    <t>00242187</t>
  </si>
  <si>
    <t>GLZ03099772</t>
  </si>
  <si>
    <t>00122526683</t>
  </si>
  <si>
    <t>00242150</t>
  </si>
  <si>
    <t>GLZ03099777</t>
  </si>
  <si>
    <t>00122526734</t>
  </si>
  <si>
    <t>00242188</t>
  </si>
  <si>
    <t>GLZ03099785</t>
  </si>
  <si>
    <t>00122526798</t>
  </si>
  <si>
    <t>00242190</t>
  </si>
  <si>
    <t>GLZ03099795</t>
  </si>
  <si>
    <t>00122526895</t>
  </si>
  <si>
    <t>00242191</t>
  </si>
  <si>
    <t>GLZ03099801</t>
  </si>
  <si>
    <t>00122526999</t>
  </si>
  <si>
    <t>00242192</t>
  </si>
  <si>
    <t>GLZ03099809</t>
  </si>
  <si>
    <t>00122527125</t>
  </si>
  <si>
    <t>00242194</t>
  </si>
  <si>
    <t>COURTYARD MARRIOT QUERETARO</t>
  </si>
  <si>
    <t>GLZ03100048</t>
  </si>
  <si>
    <t>00122549160</t>
  </si>
  <si>
    <t>00242250</t>
  </si>
  <si>
    <t>11/08/2026</t>
  </si>
  <si>
    <t>GLZ03101981</t>
  </si>
  <si>
    <t>00122585215</t>
  </si>
  <si>
    <t>00242195</t>
  </si>
  <si>
    <t>GLZ03101985</t>
  </si>
  <si>
    <t>00122585262</t>
  </si>
  <si>
    <t>00242392</t>
  </si>
  <si>
    <t>ENCORE AGUASCALIENTES</t>
  </si>
  <si>
    <t>GLZ03101991</t>
  </si>
  <si>
    <t>00122585315</t>
  </si>
  <si>
    <t>00242332</t>
  </si>
  <si>
    <t>GLZ03101993</t>
  </si>
  <si>
    <t>00122585357</t>
  </si>
  <si>
    <t>00242330</t>
  </si>
  <si>
    <t>SLEEP INN LEON ANTARES</t>
  </si>
  <si>
    <t>GLZ03101998</t>
  </si>
  <si>
    <t>00122585418</t>
  </si>
  <si>
    <t>00242328</t>
  </si>
  <si>
    <t>GLZ03102003</t>
  </si>
  <si>
    <t>00122585473</t>
  </si>
  <si>
    <t>00242313</t>
  </si>
  <si>
    <t>GLZ03102008</t>
  </si>
  <si>
    <t>00122585506</t>
  </si>
  <si>
    <t>00242314</t>
  </si>
  <si>
    <t>QUALITY INN PIEDRAS NEGRAS</t>
  </si>
  <si>
    <t>GLZ03102011</t>
  </si>
  <si>
    <t>00122585567</t>
  </si>
  <si>
    <t>00242315</t>
  </si>
  <si>
    <t>GLZ03102015</t>
  </si>
  <si>
    <t>00122585635</t>
  </si>
  <si>
    <t>00242316</t>
  </si>
  <si>
    <t>GLZ03102024</t>
  </si>
  <si>
    <t>00122585755</t>
  </si>
  <si>
    <t>00242319</t>
  </si>
  <si>
    <t>HOLIDAY INN CIUDAD DE MEXICO TRADE CENTER</t>
  </si>
  <si>
    <t>GLZ03102025</t>
  </si>
  <si>
    <t>00122585762</t>
  </si>
  <si>
    <t>00242236</t>
  </si>
  <si>
    <t>COURTYARD BY MARRIOTT CD DEL CARMEN</t>
  </si>
  <si>
    <t>GLZ03102027</t>
  </si>
  <si>
    <t>00122585769</t>
  </si>
  <si>
    <t>00242321</t>
  </si>
  <si>
    <t>COMFORT INN TAMPICO</t>
  </si>
  <si>
    <t>GLZ03102034</t>
  </si>
  <si>
    <t>00122585805</t>
  </si>
  <si>
    <t>00242260</t>
  </si>
  <si>
    <t>DOUBLE TREE BY HILTON VERACRUZ</t>
  </si>
  <si>
    <t>GLZ03102035</t>
  </si>
  <si>
    <t>00122585809</t>
  </si>
  <si>
    <t>00242311</t>
  </si>
  <si>
    <t>DECAMERON ALL INCLUSIVE HOTELS &amp; RESORTS</t>
  </si>
  <si>
    <t>GLZ03102042</t>
  </si>
  <si>
    <t>00122585861</t>
  </si>
  <si>
    <t>00242307</t>
  </si>
  <si>
    <t>GLZ03102046</t>
  </si>
  <si>
    <t>00122585925</t>
  </si>
  <si>
    <t>00242305</t>
  </si>
  <si>
    <t>GLZ03102053</t>
  </si>
  <si>
    <t>00122585974</t>
  </si>
  <si>
    <t>00242297</t>
  </si>
  <si>
    <t>GLZ03102054</t>
  </si>
  <si>
    <t>00122585977</t>
  </si>
  <si>
    <t>00242259</t>
  </si>
  <si>
    <t>GABRIELA LOPEZ / HOTEL HILTON / WALLDOS AMANKAYA CANCUN</t>
  </si>
  <si>
    <t>GLZ03102060</t>
  </si>
  <si>
    <t>00122586016</t>
  </si>
  <si>
    <t>00242298</t>
  </si>
  <si>
    <t>GLZ03102067</t>
  </si>
  <si>
    <t>00122586096</t>
  </si>
  <si>
    <t>00242258</t>
  </si>
  <si>
    <t>GLZ03102076</t>
  </si>
  <si>
    <t>00122586205</t>
  </si>
  <si>
    <t>00242257</t>
  </si>
  <si>
    <t>COURT YARD TUXPAN</t>
  </si>
  <si>
    <t>GLZ03102079</t>
  </si>
  <si>
    <t>00122586231</t>
  </si>
  <si>
    <t>00242289</t>
  </si>
  <si>
    <t>DOUBLETREE BY HILTON VERACRUZ</t>
  </si>
  <si>
    <t>GLZ03102083</t>
  </si>
  <si>
    <t>00122586266</t>
  </si>
  <si>
    <t>00242251</t>
  </si>
  <si>
    <t>GLZ03102084</t>
  </si>
  <si>
    <t>00122586281</t>
  </si>
  <si>
    <t>00242286</t>
  </si>
  <si>
    <t>GLZ03102091</t>
  </si>
  <si>
    <t>00122586336</t>
  </si>
  <si>
    <t>00242241</t>
  </si>
  <si>
    <t>HOTEL HILTON MEXICO CITY REFORMA</t>
  </si>
  <si>
    <t>GLZ03102096</t>
  </si>
  <si>
    <t>00122586450</t>
  </si>
  <si>
    <t>242282-242283</t>
  </si>
  <si>
    <t>00242282</t>
  </si>
  <si>
    <t>GLZ03102099</t>
  </si>
  <si>
    <t>00122586464</t>
  </si>
  <si>
    <t>00242238</t>
  </si>
  <si>
    <t>GLZ03102100</t>
  </si>
  <si>
    <t>00122586472</t>
  </si>
  <si>
    <t>00242269</t>
  </si>
  <si>
    <t>HOTEL LA JOYA</t>
  </si>
  <si>
    <t>GLZ03102102</t>
  </si>
  <si>
    <t>00122586518</t>
  </si>
  <si>
    <t>00242207</t>
  </si>
  <si>
    <t>COZUMEL, QROO.</t>
  </si>
  <si>
    <t>PRESIDENTE INTERCONTINENTAL COZUMEL</t>
  </si>
  <si>
    <t>GLZ03102107</t>
  </si>
  <si>
    <t>00122586578</t>
  </si>
  <si>
    <t>00242203</t>
  </si>
  <si>
    <t>GLZ03102109</t>
  </si>
  <si>
    <t>00122586630</t>
  </si>
  <si>
    <t>00242200</t>
  </si>
  <si>
    <t>PRESIDENTE INTERCONTINENTAL CANCUN / JEAN PRIOUX</t>
  </si>
  <si>
    <t>GLZ03102110</t>
  </si>
  <si>
    <t>00122586637</t>
  </si>
  <si>
    <t>242273-242281</t>
  </si>
  <si>
    <t>00242273</t>
  </si>
  <si>
    <t>GLZ03102111</t>
  </si>
  <si>
    <t>00122586658</t>
  </si>
  <si>
    <t>242264 242265 242266</t>
  </si>
  <si>
    <t>00242264</t>
  </si>
  <si>
    <t>GLZ03102112</t>
  </si>
  <si>
    <t>00122586678</t>
  </si>
  <si>
    <t>00242278</t>
  </si>
  <si>
    <t>GLZ03102114</t>
  </si>
  <si>
    <t>00122586724</t>
  </si>
  <si>
    <t>ATN NALLELY RUIZ</t>
  </si>
  <si>
    <t>MARTINEZ DE LA TORRE, VER.</t>
  </si>
  <si>
    <t>HOTEL BOUTIQUE FINCA GARULLO</t>
  </si>
  <si>
    <t>GLZ03104147</t>
  </si>
  <si>
    <t>00122645022</t>
  </si>
  <si>
    <t>242317-242336</t>
  </si>
  <si>
    <t>00242317</t>
  </si>
  <si>
    <t>12/08/2026</t>
  </si>
  <si>
    <t>GLZ03104158</t>
  </si>
  <si>
    <t>00122645093</t>
  </si>
  <si>
    <t>242310-24310</t>
  </si>
  <si>
    <t>00242310</t>
  </si>
  <si>
    <t xml:space="preserve"> 7000</t>
  </si>
  <si>
    <t>GLZ03104162</t>
  </si>
  <si>
    <t>00122645132</t>
  </si>
  <si>
    <t>00242213</t>
  </si>
  <si>
    <t>GLZ03104178</t>
  </si>
  <si>
    <t>00122645227</t>
  </si>
  <si>
    <t>242349-242387</t>
  </si>
  <si>
    <t>00242349</t>
  </si>
  <si>
    <t>HAMPTON SILAO AEROPUERTO BAJIO</t>
  </si>
  <si>
    <t>GLZ03104186</t>
  </si>
  <si>
    <t>00122645267</t>
  </si>
  <si>
    <t>00242350</t>
  </si>
  <si>
    <t>GLZ03104191</t>
  </si>
  <si>
    <t>00122645304</t>
  </si>
  <si>
    <t>00242360</t>
  </si>
  <si>
    <t>GLZ03104238</t>
  </si>
  <si>
    <t>00122645834</t>
  </si>
  <si>
    <t>00242364</t>
  </si>
  <si>
    <t>GLZ03104241</t>
  </si>
  <si>
    <t>00122645882</t>
  </si>
  <si>
    <t>00242365</t>
  </si>
  <si>
    <t>GLZ03104245</t>
  </si>
  <si>
    <t>00122645921</t>
  </si>
  <si>
    <t>00242368</t>
  </si>
  <si>
    <t>GLZ03104248</t>
  </si>
  <si>
    <t>00122645950</t>
  </si>
  <si>
    <t>00242370</t>
  </si>
  <si>
    <t>GLZ03104254</t>
  </si>
  <si>
    <t>00122646049</t>
  </si>
  <si>
    <t>00242371</t>
  </si>
  <si>
    <t>HILTON GRAND VACATIONS LLC CABO AZUL RESORT</t>
  </si>
  <si>
    <t>GLZ03104257</t>
  </si>
  <si>
    <t>00122646090</t>
  </si>
  <si>
    <t>00242372</t>
  </si>
  <si>
    <t>HILTON GARDEN INN MEXICO CITY POLANCO</t>
  </si>
  <si>
    <t>GLZ03104261</t>
  </si>
  <si>
    <t>00122646135</t>
  </si>
  <si>
    <t>00242374</t>
  </si>
  <si>
    <t>DOUBLETREE BY HILTON CELAYA</t>
  </si>
  <si>
    <t>GLZ03104262</t>
  </si>
  <si>
    <t>00122646171</t>
  </si>
  <si>
    <t>00242375</t>
  </si>
  <si>
    <t>GLZ03104265</t>
  </si>
  <si>
    <t>00122646211</t>
  </si>
  <si>
    <t>00242376</t>
  </si>
  <si>
    <t>GLZ03104269</t>
  </si>
  <si>
    <t>00122646262</t>
  </si>
  <si>
    <t>00242388</t>
  </si>
  <si>
    <t>HOLIDAY INN EXPRESS GUAYMAS</t>
  </si>
  <si>
    <t>GLZ03104274</t>
  </si>
  <si>
    <t>00122646310</t>
  </si>
  <si>
    <t>242389-242390</t>
  </si>
  <si>
    <t>00242389</t>
  </si>
  <si>
    <t>GLZ03104276</t>
  </si>
  <si>
    <t>00122646357</t>
  </si>
  <si>
    <t>00242397</t>
  </si>
  <si>
    <t>DIVERXO</t>
  </si>
  <si>
    <t>GLZ03104281</t>
  </si>
  <si>
    <t>00122646463</t>
  </si>
  <si>
    <t>00242401</t>
  </si>
  <si>
    <t>LAILA HOTELS</t>
  </si>
  <si>
    <t>GLZ03104285</t>
  </si>
  <si>
    <t>00122646509</t>
  </si>
  <si>
    <t>00242402</t>
  </si>
  <si>
    <t>GLZ03104287</t>
  </si>
  <si>
    <t>00122646576</t>
  </si>
  <si>
    <t>00242405</t>
  </si>
  <si>
    <t>GLZ03104293</t>
  </si>
  <si>
    <t>00122646629</t>
  </si>
  <si>
    <t>00242409</t>
  </si>
  <si>
    <t>GLZ03104304</t>
  </si>
  <si>
    <t>00122646822</t>
  </si>
  <si>
    <t>00242345</t>
  </si>
  <si>
    <t>GLZ03104309</t>
  </si>
  <si>
    <t>00122646940</t>
  </si>
  <si>
    <t>00242410</t>
  </si>
  <si>
    <t>ONE CUERNAVACA</t>
  </si>
  <si>
    <t>GLZ03104310</t>
  </si>
  <si>
    <t>00122646962</t>
  </si>
  <si>
    <t>00242411</t>
  </si>
  <si>
    <t>ONE COATZACOALCOS</t>
  </si>
  <si>
    <t>GLZ03104313</t>
  </si>
  <si>
    <t>00122647001</t>
  </si>
  <si>
    <t>00242412</t>
  </si>
  <si>
    <t>TIJUANA DISTRIBUIDORA JOFA</t>
  </si>
  <si>
    <t>GLZ03104317</t>
  </si>
  <si>
    <t>00122647030</t>
  </si>
  <si>
    <t>00242414</t>
  </si>
  <si>
    <t>MICROTEL SAN LUIS</t>
  </si>
  <si>
    <t>GLZ03104319</t>
  </si>
  <si>
    <t>00122647062</t>
  </si>
  <si>
    <t>00242415</t>
  </si>
  <si>
    <t>GLZ03104322</t>
  </si>
  <si>
    <t>00122647098</t>
  </si>
  <si>
    <t>00242416</t>
  </si>
  <si>
    <t>GLZ03104325</t>
  </si>
  <si>
    <t>00122647151</t>
  </si>
  <si>
    <t>00242417</t>
  </si>
  <si>
    <t>GLZ03104328</t>
  </si>
  <si>
    <t>00122647202</t>
  </si>
  <si>
    <t>00242419</t>
  </si>
  <si>
    <t>GLZ03104333</t>
  </si>
  <si>
    <t>00122647353</t>
  </si>
  <si>
    <t>00242300</t>
  </si>
  <si>
    <t>RIU PALACE CABO SAN LUCAS</t>
  </si>
  <si>
    <t>GLZ03104345</t>
  </si>
  <si>
    <t>00122647524</t>
  </si>
  <si>
    <t>00242271</t>
  </si>
  <si>
    <t>REAL INN CELAYA</t>
  </si>
  <si>
    <t>GLZ03106232</t>
  </si>
  <si>
    <t>00122708069</t>
  </si>
  <si>
    <t>00242425</t>
  </si>
  <si>
    <t>13/08/2026</t>
  </si>
  <si>
    <t>GLZ03106240</t>
  </si>
  <si>
    <t>00122708143</t>
  </si>
  <si>
    <t>00242426</t>
  </si>
  <si>
    <t>GLZ03106277</t>
  </si>
  <si>
    <t>00122708723</t>
  </si>
  <si>
    <t>00242434</t>
  </si>
  <si>
    <t>GLZ03106281</t>
  </si>
  <si>
    <t>00122708778</t>
  </si>
  <si>
    <t>00242436</t>
  </si>
  <si>
    <t>GLZ03106286</t>
  </si>
  <si>
    <t>00122708872</t>
  </si>
  <si>
    <t>00242444</t>
  </si>
  <si>
    <t>HOLIDAY INN ACAPULCO AMAREA LAILA</t>
  </si>
  <si>
    <t>GLZ03106292</t>
  </si>
  <si>
    <t>00122708970</t>
  </si>
  <si>
    <t>242445 242469</t>
  </si>
  <si>
    <t>00242445</t>
  </si>
  <si>
    <t>GLZ03106293</t>
  </si>
  <si>
    <t>00122709037</t>
  </si>
  <si>
    <t>00242446</t>
  </si>
  <si>
    <t>GLZ03106299</t>
  </si>
  <si>
    <t>00122709099</t>
  </si>
  <si>
    <t>00242448</t>
  </si>
  <si>
    <t>HAMPTON BY HILTON LEON</t>
  </si>
  <si>
    <t>GLZ03106306</t>
  </si>
  <si>
    <t>00122709201</t>
  </si>
  <si>
    <t>00242459</t>
  </si>
  <si>
    <t>AC MARRIOTT SAN LUIS POTOSI</t>
  </si>
  <si>
    <t>GLZ03106307</t>
  </si>
  <si>
    <t>00122709308</t>
  </si>
  <si>
    <t>00242462</t>
  </si>
  <si>
    <t>GLZ03106310</t>
  </si>
  <si>
    <t>00122709364</t>
  </si>
  <si>
    <t>00242463</t>
  </si>
  <si>
    <t>WYNDHAM MERIDA</t>
  </si>
  <si>
    <t>GLZ03106313</t>
  </si>
  <si>
    <t>00122709428</t>
  </si>
  <si>
    <t>00242468</t>
  </si>
  <si>
    <t>NAVOJOA, SON.</t>
  </si>
  <si>
    <t>NAVOJOA COMSAN</t>
  </si>
  <si>
    <t>GLZ03106329</t>
  </si>
  <si>
    <t>00122709703</t>
  </si>
  <si>
    <t>242472 242473</t>
  </si>
  <si>
    <t>00242472</t>
  </si>
  <si>
    <t>SLEEP INN MONCLOVA</t>
  </si>
  <si>
    <t>GLZ03106337</t>
  </si>
  <si>
    <t>00122709813</t>
  </si>
  <si>
    <t>00242476</t>
  </si>
  <si>
    <t>GLZ03106343</t>
  </si>
  <si>
    <t>00122709972</t>
  </si>
  <si>
    <t>00242477</t>
  </si>
  <si>
    <t>GLZ03106348</t>
  </si>
  <si>
    <t>00122710045</t>
  </si>
  <si>
    <t>00242481</t>
  </si>
  <si>
    <t>HOLIDAY INN &amp; SUITES CHIHUAHUA</t>
  </si>
  <si>
    <t>GLZ03106349</t>
  </si>
  <si>
    <t>00122710094</t>
  </si>
  <si>
    <t>00242483</t>
  </si>
  <si>
    <t>HOLIDAY INN EXPRESS &amp; SUITES TOLUCA</t>
  </si>
  <si>
    <t>GLZ03106352</t>
  </si>
  <si>
    <t>00122710136</t>
  </si>
  <si>
    <t>GLZ03106376</t>
  </si>
  <si>
    <t>00122710556</t>
  </si>
  <si>
    <t>00242471</t>
  </si>
  <si>
    <t>GLZ03108360</t>
  </si>
  <si>
    <t>00122769896</t>
  </si>
  <si>
    <t>00242553</t>
  </si>
  <si>
    <t>14/08/2026</t>
  </si>
  <si>
    <t>GLZ03108364</t>
  </si>
  <si>
    <t>00122769932</t>
  </si>
  <si>
    <t>00242493</t>
  </si>
  <si>
    <t>GLZ03108370</t>
  </si>
  <si>
    <t>00122769975</t>
  </si>
  <si>
    <t>00242494</t>
  </si>
  <si>
    <t>GLZ03108372</t>
  </si>
  <si>
    <t>00122770023</t>
  </si>
  <si>
    <t>00242495</t>
  </si>
  <si>
    <t>GLZ03108374</t>
  </si>
  <si>
    <t>00122770064</t>
  </si>
  <si>
    <t>00242501</t>
  </si>
  <si>
    <t>GLZ03108377</t>
  </si>
  <si>
    <t>00122770104</t>
  </si>
  <si>
    <t>00242508</t>
  </si>
  <si>
    <t>HOLIDAY INN TUXTLA GUTIERREZ</t>
  </si>
  <si>
    <t>GLZ03108385</t>
  </si>
  <si>
    <t>00122770188</t>
  </si>
  <si>
    <t>00242511</t>
  </si>
  <si>
    <t>GLZ03108402</t>
  </si>
  <si>
    <t>00122770345</t>
  </si>
  <si>
    <t>00242515</t>
  </si>
  <si>
    <t>GLZ03108407</t>
  </si>
  <si>
    <t>00122770435</t>
  </si>
  <si>
    <t>00242519</t>
  </si>
  <si>
    <t>GLZ03108409</t>
  </si>
  <si>
    <t>00122770475</t>
  </si>
  <si>
    <t>00242523</t>
  </si>
  <si>
    <t>GLZ03108413</t>
  </si>
  <si>
    <t>00122770554</t>
  </si>
  <si>
    <t>00242524</t>
  </si>
  <si>
    <t>GLZ03108418</t>
  </si>
  <si>
    <t>00122770598</t>
  </si>
  <si>
    <t>00242532</t>
  </si>
  <si>
    <t>GLZ03110824</t>
  </si>
  <si>
    <t>00122875577</t>
  </si>
  <si>
    <t>00220178</t>
  </si>
  <si>
    <t>ESCENCIA HOTELERA</t>
  </si>
  <si>
    <t>17/08/2026</t>
  </si>
  <si>
    <t>GLZ03110830</t>
  </si>
  <si>
    <t>00122875656</t>
  </si>
  <si>
    <t>00242557</t>
  </si>
  <si>
    <t>GLZ03110843</t>
  </si>
  <si>
    <t>00122875803</t>
  </si>
  <si>
    <t>00242572</t>
  </si>
  <si>
    <t>GLZ03110852</t>
  </si>
  <si>
    <t>00122875893</t>
  </si>
  <si>
    <t>00242576</t>
  </si>
  <si>
    <t>GLZ03110853</t>
  </si>
  <si>
    <t>00122875961</t>
  </si>
  <si>
    <t>00242577</t>
  </si>
  <si>
    <t>GLZ03110861</t>
  </si>
  <si>
    <t>00122876027</t>
  </si>
  <si>
    <t>00242580</t>
  </si>
  <si>
    <t>GLZ03110872</t>
  </si>
  <si>
    <t>00122876083</t>
  </si>
  <si>
    <t>00242581</t>
  </si>
  <si>
    <t>TULTITLAN, EDO. MEX.</t>
  </si>
  <si>
    <t>FIESTA INN PERINORTE</t>
  </si>
  <si>
    <t>GLZ03110877</t>
  </si>
  <si>
    <t>00122876135</t>
  </si>
  <si>
    <t>00242537</t>
  </si>
  <si>
    <t>GLZ03111355</t>
  </si>
  <si>
    <t>00122903958</t>
  </si>
  <si>
    <t>00242556</t>
  </si>
  <si>
    <t>18/08/2026</t>
  </si>
  <si>
    <t>GLZ03113362</t>
  </si>
  <si>
    <t>00122940578</t>
  </si>
  <si>
    <t>00242605</t>
  </si>
  <si>
    <t>GLZ03113371</t>
  </si>
  <si>
    <t>00122940627</t>
  </si>
  <si>
    <t>00242617</t>
  </si>
  <si>
    <t>GLZ03113372</t>
  </si>
  <si>
    <t>00122940669</t>
  </si>
  <si>
    <t>00242608</t>
  </si>
  <si>
    <t>HOLIDAY INN RESORT IXTAPA</t>
  </si>
  <si>
    <t>GLZ03113382</t>
  </si>
  <si>
    <t>00122940726</t>
  </si>
  <si>
    <t>00242607</t>
  </si>
  <si>
    <t>HOLIDAY INN HUATULCO</t>
  </si>
  <si>
    <t>GLZ03113398</t>
  </si>
  <si>
    <t>00122940972</t>
  </si>
  <si>
    <t>00242598</t>
  </si>
  <si>
    <t>GLZ03113400</t>
  </si>
  <si>
    <t>00122941008</t>
  </si>
  <si>
    <t>00242594</t>
  </si>
  <si>
    <t>GLZ03113403</t>
  </si>
  <si>
    <t>00122941080</t>
  </si>
  <si>
    <t>00242593</t>
  </si>
  <si>
    <t>GLZ03113405</t>
  </si>
  <si>
    <t>00122941149</t>
  </si>
  <si>
    <t>00242591</t>
  </si>
  <si>
    <t>GLZ03113412</t>
  </si>
  <si>
    <t>00122941195</t>
  </si>
  <si>
    <t>00242590</t>
  </si>
  <si>
    <t>GLZ03113416</t>
  </si>
  <si>
    <t>00122941239</t>
  </si>
  <si>
    <t>00242589</t>
  </si>
  <si>
    <t>GLZ03113418</t>
  </si>
  <si>
    <t>00122941282</t>
  </si>
  <si>
    <t>00242587</t>
  </si>
  <si>
    <t>GLZ03113420</t>
  </si>
  <si>
    <t>00122941335</t>
  </si>
  <si>
    <t>00242647</t>
  </si>
  <si>
    <t>GLZ03113452</t>
  </si>
  <si>
    <t>00122941829</t>
  </si>
  <si>
    <t>00242644</t>
  </si>
  <si>
    <t>GLZ03113458</t>
  </si>
  <si>
    <t>00122941882</t>
  </si>
  <si>
    <t>00242639</t>
  </si>
  <si>
    <t>GLZ03113462</t>
  </si>
  <si>
    <t>00122941936</t>
  </si>
  <si>
    <t>00242638</t>
  </si>
  <si>
    <t>GLZ03113465</t>
  </si>
  <si>
    <t>00122941978</t>
  </si>
  <si>
    <t>00242629</t>
  </si>
  <si>
    <t>GLZ03113473</t>
  </si>
  <si>
    <t>00122942020</t>
  </si>
  <si>
    <t>00242625</t>
  </si>
  <si>
    <t>GLZ03113477</t>
  </si>
  <si>
    <t>00122942118</t>
  </si>
  <si>
    <t>00242619</t>
  </si>
  <si>
    <t>HOTEL HAMPTON INN BY HILTON DURANGO</t>
  </si>
  <si>
    <t>GLZ03113768</t>
  </si>
  <si>
    <t>00122966938</t>
  </si>
  <si>
    <t>00242603</t>
  </si>
  <si>
    <t>ENCORE SAN LUIS</t>
  </si>
  <si>
    <t>GLZ03115376</t>
  </si>
  <si>
    <t>00122996098</t>
  </si>
  <si>
    <t>JYP-176
ATN CARLOS VALDOS
TEL 3221563801</t>
  </si>
  <si>
    <t>00000176</t>
  </si>
  <si>
    <t>BAHIA DE BANDERAS, NAY.</t>
  </si>
  <si>
    <t>GEORGINA GPE VILLASE?R DEL CASTILLO</t>
  </si>
  <si>
    <t>GLZ03115384</t>
  </si>
  <si>
    <t>00122996195</t>
  </si>
  <si>
    <t>00242734</t>
  </si>
  <si>
    <t>HOWARD JOHNSON VERACRUZ BY WYNDHAM</t>
  </si>
  <si>
    <t>GLZ03115388</t>
  </si>
  <si>
    <t>00122996263</t>
  </si>
  <si>
    <t>00242718</t>
  </si>
  <si>
    <t>GLZ03115393</t>
  </si>
  <si>
    <t>00122996329</t>
  </si>
  <si>
    <t>00242716</t>
  </si>
  <si>
    <t>GLZ03115399</t>
  </si>
  <si>
    <t>00122996416</t>
  </si>
  <si>
    <t>00242708</t>
  </si>
  <si>
    <t>GLZ03115406</t>
  </si>
  <si>
    <t>00122996520</t>
  </si>
  <si>
    <t>00242707</t>
  </si>
  <si>
    <t>GLZ03115427</t>
  </si>
  <si>
    <t>00122996989</t>
  </si>
  <si>
    <t>00242705</t>
  </si>
  <si>
    <t>GLZ03115440</t>
  </si>
  <si>
    <t>00122997247</t>
  </si>
  <si>
    <t>00242698</t>
  </si>
  <si>
    <t>GLZ03115446</t>
  </si>
  <si>
    <t>00122997309</t>
  </si>
  <si>
    <t>00242686</t>
  </si>
  <si>
    <t>GLZ03115452</t>
  </si>
  <si>
    <t>00122997356</t>
  </si>
  <si>
    <t>00242683</t>
  </si>
  <si>
    <t>GLZ03115467</t>
  </si>
  <si>
    <t>00122997466</t>
  </si>
  <si>
    <t>00242678</t>
  </si>
  <si>
    <t>GLZ03115474</t>
  </si>
  <si>
    <t>00122997568</t>
  </si>
  <si>
    <t>00242677</t>
  </si>
  <si>
    <t>GLZ03115481</t>
  </si>
  <si>
    <t>00122997616</t>
  </si>
  <si>
    <t>00242674</t>
  </si>
  <si>
    <t>GLZ03115484</t>
  </si>
  <si>
    <t>00122997721</t>
  </si>
  <si>
    <t>00242669</t>
  </si>
  <si>
    <t>GLZ03115489</t>
  </si>
  <si>
    <t>00122997798</t>
  </si>
  <si>
    <t>00242665</t>
  </si>
  <si>
    <t>FIESTA AMERICANA VILLAS CANCUN FACU</t>
  </si>
  <si>
    <t>GLZ03115492</t>
  </si>
  <si>
    <t>00122997860</t>
  </si>
  <si>
    <t>00242664</t>
  </si>
  <si>
    <t>GLZ03115496</t>
  </si>
  <si>
    <t>00122997908</t>
  </si>
  <si>
    <t>00242660</t>
  </si>
  <si>
    <t>GLZ03115501</t>
  </si>
  <si>
    <t>00122998034</t>
  </si>
  <si>
    <t>00220138</t>
  </si>
  <si>
    <t>BARCELO HUATULCO</t>
  </si>
  <si>
    <t>GLZ03115508</t>
  </si>
  <si>
    <t>00122998119</t>
  </si>
  <si>
    <t>00220017</t>
  </si>
  <si>
    <t>GLZ03115723</t>
  </si>
  <si>
    <t>00123000230</t>
  </si>
  <si>
    <t>JYP-172</t>
  </si>
  <si>
    <t>00000172</t>
  </si>
  <si>
    <t>CORPORATIVO CITY EXPRESS</t>
  </si>
  <si>
    <t>GLZ03117671</t>
  </si>
  <si>
    <t>00123063629</t>
  </si>
  <si>
    <t>00242723</t>
  </si>
  <si>
    <t>GLZ03117680</t>
  </si>
  <si>
    <t>00123063692</t>
  </si>
  <si>
    <t>00242722</t>
  </si>
  <si>
    <t>GAMMA CUERNAVACA</t>
  </si>
  <si>
    <t>GLZ03117684</t>
  </si>
  <si>
    <t>00123063754</t>
  </si>
  <si>
    <t>00242741</t>
  </si>
  <si>
    <t>GLZ03117690</t>
  </si>
  <si>
    <t>00123063802</t>
  </si>
  <si>
    <t>00242740</t>
  </si>
  <si>
    <t>HOLIDAY INN EXPRESS &amp; SUITES MEXICALI</t>
  </si>
  <si>
    <t>GLZ03117695</t>
  </si>
  <si>
    <t>00123063867</t>
  </si>
  <si>
    <t>00242742</t>
  </si>
  <si>
    <t>HOLIDAY INN EXPRESS MEXICO AEROPUERTO</t>
  </si>
  <si>
    <t>GLZ03117703</t>
  </si>
  <si>
    <t>00123063967</t>
  </si>
  <si>
    <t>00242748</t>
  </si>
  <si>
    <t>OPERADORA EMPORIO VERACRUZ, SA DE CV.</t>
  </si>
  <si>
    <t>GLZ03117720</t>
  </si>
  <si>
    <t>00123064170</t>
  </si>
  <si>
    <t>00242788</t>
  </si>
  <si>
    <t>RAMADA BY WIDHAM PERINORTE</t>
  </si>
  <si>
    <t>GLZ03117725</t>
  </si>
  <si>
    <t>00123064241</t>
  </si>
  <si>
    <t>00242787</t>
  </si>
  <si>
    <t>GLZ03117755</t>
  </si>
  <si>
    <t>00123064713</t>
  </si>
  <si>
    <t>00242765</t>
  </si>
  <si>
    <t>GLZ03117766</t>
  </si>
  <si>
    <t>00123064865</t>
  </si>
  <si>
    <t>00242761</t>
  </si>
  <si>
    <t>GLZ03117772</t>
  </si>
  <si>
    <t>00123064897</t>
  </si>
  <si>
    <t>00242757</t>
  </si>
  <si>
    <t>GLZ03117775</t>
  </si>
  <si>
    <t>00123064943</t>
  </si>
  <si>
    <t>00242755</t>
  </si>
  <si>
    <t>GLZ03117780</t>
  </si>
  <si>
    <t>00123064998</t>
  </si>
  <si>
    <t>00242754</t>
  </si>
  <si>
    <t>GLZ03117786</t>
  </si>
  <si>
    <t>00123065048</t>
  </si>
  <si>
    <t>00242753</t>
  </si>
  <si>
    <t>GLZ03117934</t>
  </si>
  <si>
    <t>00123066724</t>
  </si>
  <si>
    <t>00242770</t>
  </si>
  <si>
    <t>HOLIDAY INN EXPRESS MONTERREY FUNDIDORA</t>
  </si>
  <si>
    <t>GLZ03117975</t>
  </si>
  <si>
    <t>00123067697</t>
  </si>
  <si>
    <t>00242745</t>
  </si>
  <si>
    <t>GLZ03117978</t>
  </si>
  <si>
    <t>00123067728</t>
  </si>
  <si>
    <t>JYP-178</t>
  </si>
  <si>
    <t>00000178</t>
  </si>
  <si>
    <t>EXPO ABASTUR</t>
  </si>
  <si>
    <t>GLZ03118180</t>
  </si>
  <si>
    <t>00123095743</t>
  </si>
  <si>
    <t>00242793</t>
  </si>
  <si>
    <t>COURTYARD CHIHUAHUA(CUUCY)</t>
  </si>
  <si>
    <t>GLZ03119772</t>
  </si>
  <si>
    <t>00123130267</t>
  </si>
  <si>
    <t>00242850</t>
  </si>
  <si>
    <t>VALRANI SA DE CV</t>
  </si>
  <si>
    <t>GLZ03119786</t>
  </si>
  <si>
    <t>00123130526</t>
  </si>
  <si>
    <t>00242849</t>
  </si>
  <si>
    <t>GLZ03119797</t>
  </si>
  <si>
    <t>00123130622</t>
  </si>
  <si>
    <t>00242856</t>
  </si>
  <si>
    <t>GLZ03119801</t>
  </si>
  <si>
    <t>00123130715</t>
  </si>
  <si>
    <t>00242848</t>
  </si>
  <si>
    <t>GLZ03119806</t>
  </si>
  <si>
    <t>00123130770</t>
  </si>
  <si>
    <t>00242844</t>
  </si>
  <si>
    <t>GLZ03119817</t>
  </si>
  <si>
    <t>00123130952</t>
  </si>
  <si>
    <t>00242837</t>
  </si>
  <si>
    <t>GLZ03119829</t>
  </si>
  <si>
    <t>00123131083</t>
  </si>
  <si>
    <t>00242834</t>
  </si>
  <si>
    <t>SAN JOSE CHIAPA, PUE.</t>
  </si>
  <si>
    <t>LA QUINTA CIUDAD MODELO SAN JOSE CHIAPA</t>
  </si>
  <si>
    <t>GLZ03119837</t>
  </si>
  <si>
    <t>00123131173</t>
  </si>
  <si>
    <t>00242832</t>
  </si>
  <si>
    <t>CITY EXPRESS VERACRUZ (CEVER)</t>
  </si>
  <si>
    <t>GLZ03119844</t>
  </si>
  <si>
    <t>00123131240</t>
  </si>
  <si>
    <t>00242827</t>
  </si>
  <si>
    <t>GLZ03119850</t>
  </si>
  <si>
    <t>00123131300</t>
  </si>
  <si>
    <t>00242826</t>
  </si>
  <si>
    <t>GLZ03119855</t>
  </si>
  <si>
    <t>00123131363</t>
  </si>
  <si>
    <t>00242823</t>
  </si>
  <si>
    <t>HOTEL LUCERNA HERMOSILLO</t>
  </si>
  <si>
    <t>GLZ03119861</t>
  </si>
  <si>
    <t>00123131430</t>
  </si>
  <si>
    <t>00242816</t>
  </si>
  <si>
    <t>GLZ03119867</t>
  </si>
  <si>
    <t>00123131504</t>
  </si>
  <si>
    <t>00242808</t>
  </si>
  <si>
    <t>HOWARD JOHNSON VERACRUZ</t>
  </si>
  <si>
    <t>GLZ03119868</t>
  </si>
  <si>
    <t>00123131509</t>
  </si>
  <si>
    <t>00242805</t>
  </si>
  <si>
    <t>GLZ03119873</t>
  </si>
  <si>
    <t>00123131561</t>
  </si>
  <si>
    <t>00242806</t>
  </si>
  <si>
    <t>HOTEL MARRIOT SAN LUIS POTOSI</t>
  </si>
  <si>
    <t>GLZ03119889</t>
  </si>
  <si>
    <t>00123131783</t>
  </si>
  <si>
    <t>00242798</t>
  </si>
  <si>
    <t>GLZ03119900</t>
  </si>
  <si>
    <t>00123131921</t>
  </si>
  <si>
    <t>00242795</t>
  </si>
  <si>
    <t>GLZ03119976</t>
  </si>
  <si>
    <t>00123133140</t>
  </si>
  <si>
    <t>00242857</t>
  </si>
  <si>
    <t>GLZ03120018</t>
  </si>
  <si>
    <t>00123133791</t>
  </si>
  <si>
    <t>00242843</t>
  </si>
  <si>
    <t>THO04576889</t>
  </si>
  <si>
    <t>00120838204</t>
  </si>
  <si>
    <t>EAD-RECOLECCION</t>
  </si>
  <si>
    <t>COMPLEMENTARIO POR EAD ESPECIAL
GLZ03043776</t>
  </si>
  <si>
    <t>SE ANEXA CORREO DE AUTORIZACIÓN SOLICITA EFRIAS</t>
  </si>
  <si>
    <t xml:space="preserve"> PALL  </t>
  </si>
  <si>
    <t>THO04577454</t>
  </si>
  <si>
    <t>00120900087</t>
  </si>
  <si>
    <t>COMPLEMENTARIO ENTREGA ESPECIAL
GLZ03041359</t>
  </si>
  <si>
    <t>SE ANEXA CORREO DE AUTORIZACION SOLICITA LOANAY</t>
  </si>
  <si>
    <t>ENTRADA ES POR EJERCITO NACIONAL</t>
  </si>
  <si>
    <t xml:space="preserve"> 25  </t>
  </si>
  <si>
    <t>MON01658441</t>
  </si>
  <si>
    <t>00120942135</t>
  </si>
  <si>
    <t>COMPLE MANIOBRAS GLZ03039423 -A FACTURA 240392</t>
  </si>
  <si>
    <t>IMPULSORA PLAZA JUAREZ//CITY EXPRESS MONTERREY AEROPUERTO//GABRIELA BUSTOS</t>
  </si>
  <si>
    <t xml:space="preserve">Bano y cuerpo 240392 </t>
  </si>
  <si>
    <t xml:space="preserve"> 19  </t>
  </si>
  <si>
    <t>CSL00071255</t>
  </si>
  <si>
    <t>00121301658</t>
  </si>
  <si>
    <t>CITY PLUS CABO SAN LUCAS (CECSL)</t>
  </si>
  <si>
    <t xml:space="preserve">complemento del GLZ03045573 </t>
  </si>
  <si>
    <t xml:space="preserve"> 39  </t>
  </si>
  <si>
    <t>ACA00971244</t>
  </si>
  <si>
    <t>00121496394</t>
  </si>
  <si>
    <t>HOTEL ONE ACAPULCO COSTERA</t>
  </si>
  <si>
    <t>MON01659772</t>
  </si>
  <si>
    <t>00121752522</t>
  </si>
  <si>
    <t>COMPLE-MANIOBRAS-AL</t>
  </si>
  <si>
    <t xml:space="preserve">Bano y cuerpo 241084 </t>
  </si>
  <si>
    <t xml:space="preserve"> 10  </t>
  </si>
  <si>
    <t>THO04585097</t>
  </si>
  <si>
    <t>00121790148</t>
  </si>
  <si>
    <t>COMPLEMENTARIO POR E.E. DEL GLZ003070124</t>
  </si>
  <si>
    <t>SOLICITA AMAGOS</t>
  </si>
  <si>
    <t>THO04586393</t>
  </si>
  <si>
    <t>00121914515</t>
  </si>
  <si>
    <t>SE GENERA COMPLEMENTARIO GLZ03076969</t>
  </si>
  <si>
    <t>SE ANEXA CORREO DE AUTORIZACION RHERNANDEZ@JYPESA.COM</t>
  </si>
  <si>
    <t xml:space="preserve"> 18  </t>
  </si>
  <si>
    <t>THO04586634</t>
  </si>
  <si>
    <t>00121934047</t>
  </si>
  <si>
    <t>COMPLE 00840492</t>
  </si>
  <si>
    <t xml:space="preserve">Demoras </t>
  </si>
  <si>
    <t xml:space="preserve"> LOTE  </t>
  </si>
  <si>
    <t>MON01661207</t>
  </si>
  <si>
    <t>00122624218</t>
  </si>
  <si>
    <t>COMPLE MANIOBRAS GLZ03097108 -A</t>
  </si>
  <si>
    <t xml:space="preserve">Bano y cuerpo 242137 </t>
  </si>
  <si>
    <t xml:space="preserve"> 24  </t>
  </si>
  <si>
    <t>THO04592584</t>
  </si>
  <si>
    <t>00122630195</t>
  </si>
  <si>
    <t>COMPLEMENTARIO POR ENTREGA ESPECIAL
GLZ03099669</t>
  </si>
  <si>
    <t>SE ANEXA CORREO DE AUTORIZACIÓN SOLICITA ESAUL</t>
  </si>
  <si>
    <t xml:space="preserve"> TARI  </t>
  </si>
  <si>
    <t>THO04595016</t>
  </si>
  <si>
    <t>00122928164</t>
  </si>
  <si>
    <t>SE GENERA COMPLEMENTARIO GLZ03102083</t>
  </si>
  <si>
    <t>SE ANEXA CORREO DE AUTORIZACION LOANAY</t>
  </si>
  <si>
    <t xml:space="preserve">Bano y cuerpo 242251 </t>
  </si>
  <si>
    <t>GLZ03050060</t>
  </si>
  <si>
    <t>00120965656</t>
  </si>
  <si>
    <t>MENSAJERIA</t>
  </si>
  <si>
    <t>9
ATN ANETTE RIOS</t>
  </si>
  <si>
    <t>00000009</t>
  </si>
  <si>
    <t>HOTEL GALERIA PLAZA VERACRUZ/PATRICIA BAILON ORTIZ</t>
  </si>
  <si>
    <t xml:space="preserve"> 10</t>
  </si>
  <si>
    <t xml:space="preserve"> .06</t>
  </si>
  <si>
    <t xml:space="preserve"> 25</t>
  </si>
  <si>
    <t>GLZ03069947</t>
  </si>
  <si>
    <t>00121599569</t>
  </si>
  <si>
    <t>11
ATN MIREYA GUTIERREZ</t>
  </si>
  <si>
    <t>00000011</t>
  </si>
  <si>
    <t xml:space="preserve"> 8</t>
  </si>
  <si>
    <t xml:space="preserve"> .05</t>
  </si>
  <si>
    <t>COR00424631</t>
  </si>
  <si>
    <t>00122084381</t>
  </si>
  <si>
    <t>HOTEL HB</t>
  </si>
  <si>
    <t xml:space="preserve">AMENIDADES </t>
  </si>
  <si>
    <t xml:space="preserve"> .02</t>
  </si>
  <si>
    <t>NAU00993951</t>
  </si>
  <si>
    <t>00121975996</t>
  </si>
  <si>
    <t>AUTORIZACION</t>
  </si>
  <si>
    <t>VIAJA POR CUENTA Y RIESGO</t>
  </si>
  <si>
    <t>TERMINAL NAUCALPAN, EDO. MEX.</t>
  </si>
  <si>
    <t>DOUBLE TREE BY HILTON MEXICO CITY SANTA FE</t>
  </si>
  <si>
    <t>JABONES Y PRODUCTOS ESPECIALIZADOS // JAZMIN CASTILLO</t>
  </si>
  <si>
    <t xml:space="preserve">AMENIDADES3006 </t>
  </si>
  <si>
    <t xml:space="preserve"> 5  </t>
  </si>
  <si>
    <t>PUE01465599</t>
  </si>
  <si>
    <t>00123061729</t>
  </si>
  <si>
    <t>HOLLY DE IN</t>
  </si>
  <si>
    <t>JABONES Y PRODUCTOS ESPECIALIZADOS/JAZMIN CASTILLO</t>
  </si>
  <si>
    <t xml:space="preserve">amenidades </t>
  </si>
  <si>
    <t xml:space="preserve"> 50</t>
  </si>
  <si>
    <t xml:space="preserve"> .08</t>
  </si>
  <si>
    <t>THO04594410</t>
  </si>
  <si>
    <t>00122863686</t>
  </si>
  <si>
    <t>REEXPEDICION</t>
  </si>
  <si>
    <t>REF  GLZ3097009</t>
  </si>
  <si>
    <t>CARLOS FIALKO/ JABONES Y PRODUCTOS ESPECIALIZADOS</t>
  </si>
  <si>
    <t xml:space="preserve">Bano y cuerpo 37 cajas GLZ3097009 </t>
  </si>
  <si>
    <t xml:space="preserve">TOTAL: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</si>
</sst>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rgb="FF000000"/>
      <name val="Calibri"/>
    </font>
    <font>
      <b/>
      <sz val="12"/>
      <color rgb="FFFFFFFF"/>
      <name val="Cooper Hewitt"/>
    </font>
  </fonts>
  <fills count="3">
    <fill>
      <patternFill patternType="none"/>
    </fill>
    <fill>
      <patternFill patternType="gray125"/>
    </fill>
    <fill>
      <patternFill patternType="solid">
        <fgColor rgb="FF4169E1"/>
        <bgColor rgb="FF4169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T960"/>
  <sheetViews>
    <sheetView tabSelected="1" workbookViewId="0">
      <pane ySplit="1" topLeftCell="A2" activePane="bottomLeft" state="frozen"/>
      <selection pane="bottomLeft" activeCell="G8" sqref="G8"/>
    </sheetView>
  </sheetViews>
  <sheetFormatPr baseColWidth="10" defaultColWidth="9.140625" defaultRowHeight="15"/>
  <cols>
    <col min="1" max="3" width="15" customWidth="1"/>
    <col min="4" max="5" width="20" customWidth="1"/>
    <col min="6" max="6" width="15" customWidth="1"/>
    <col min="7" max="10" width="45" customWidth="1"/>
    <col min="11" max="11" width="20" customWidth="1"/>
    <col min="12" max="12" width="40" customWidth="1"/>
    <col min="13" max="13" width="65" customWidth="1"/>
    <col min="14" max="14" width="40" customWidth="1"/>
    <col min="15" max="15" width="65" customWidth="1"/>
    <col min="16" max="16" width="15" customWidth="1"/>
    <col min="17" max="55" width="40" customWidth="1"/>
    <col min="56" max="64" width="15" customWidth="1"/>
    <col min="65" max="65" width="18" customWidth="1"/>
    <col min="66" max="69" width="15" customWidth="1"/>
    <col min="70" max="70" width="30" customWidth="1"/>
    <col min="71" max="71" width="15" customWidth="1"/>
    <col min="72" max="72" width="30" customWidth="1"/>
    <col min="73" max="73" width="10" customWidth="1"/>
  </cols>
  <sheetData>
    <row r="1" spans="1:72" ht="15.75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19</v>
      </c>
      <c r="I1" s="1" t="s">
        <v>20</v>
      </c>
      <c r="J1" s="1" t="s">
        <v>21</v>
      </c>
      <c r="K1" s="1" t="s">
        <v>22</v>
      </c>
      <c r="L1" s="1" t="s">
        <v>23</v>
      </c>
      <c r="M1" s="1" t="s">
        <v>24</v>
      </c>
      <c r="N1" s="1" t="s">
        <v>25</v>
      </c>
      <c r="O1" s="1" t="s">
        <v>26</v>
      </c>
      <c r="P1" s="1" t="s">
        <v>27</v>
      </c>
      <c r="Q1" s="1"/>
      <c r="R1" s="1"/>
      <c r="S1" s="1"/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7</v>
      </c>
      <c r="AB1" s="1" t="s">
        <v>8</v>
      </c>
      <c r="AC1" s="1" t="s">
        <v>9</v>
      </c>
      <c r="AD1" s="1" t="s">
        <v>10</v>
      </c>
      <c r="AE1" s="1" t="s">
        <v>11</v>
      </c>
      <c r="AF1" s="1" t="s">
        <v>28</v>
      </c>
      <c r="AG1" s="1" t="s">
        <v>29</v>
      </c>
      <c r="AH1" s="1" t="s">
        <v>30</v>
      </c>
      <c r="AI1" s="1" t="s">
        <v>31</v>
      </c>
      <c r="AJ1" s="1" t="s">
        <v>32</v>
      </c>
      <c r="AK1" s="1" t="s">
        <v>33</v>
      </c>
      <c r="AL1" s="1" t="s">
        <v>34</v>
      </c>
      <c r="AM1" s="1" t="s">
        <v>35</v>
      </c>
      <c r="AN1" s="1" t="s">
        <v>36</v>
      </c>
      <c r="AO1" s="1" t="s">
        <v>37</v>
      </c>
      <c r="AP1" s="1" t="s">
        <v>38</v>
      </c>
      <c r="AQ1" s="1" t="s">
        <v>39</v>
      </c>
      <c r="AR1" s="1" t="s">
        <v>40</v>
      </c>
      <c r="AS1" s="1" t="s">
        <v>41</v>
      </c>
      <c r="AT1" s="1" t="s">
        <v>42</v>
      </c>
      <c r="AU1" s="1" t="s">
        <v>43</v>
      </c>
      <c r="AV1" s="1" t="s">
        <v>44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  <c r="BE1" s="1" t="s">
        <v>53</v>
      </c>
      <c r="BF1" s="1" t="s">
        <v>54</v>
      </c>
      <c r="BG1" s="1" t="s">
        <v>55</v>
      </c>
      <c r="BH1" s="1" t="s">
        <v>56</v>
      </c>
      <c r="BI1" s="1" t="s">
        <v>57</v>
      </c>
      <c r="BJ1" s="1" t="s">
        <v>58</v>
      </c>
      <c r="BK1" s="1" t="s">
        <v>59</v>
      </c>
      <c r="BL1" s="1" t="s">
        <v>60</v>
      </c>
      <c r="BM1" s="1" t="s">
        <v>61</v>
      </c>
      <c r="BN1" s="1" t="s">
        <v>62</v>
      </c>
      <c r="BO1" s="1" t="s">
        <v>63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</row>
    <row r="2" spans="1:72">
      <c r="A2" t="s">
        <v>69</v>
      </c>
      <c r="B2" t="s">
        <v>70</v>
      </c>
      <c r="C2" t="s">
        <v>71</v>
      </c>
      <c r="D2" t="s">
        <v>72</v>
      </c>
      <c r="E2" t="s">
        <v>73</v>
      </c>
      <c r="F2" t="s">
        <v>74</v>
      </c>
      <c r="G2">
        <v>239172</v>
      </c>
      <c r="H2" t="s">
        <v>74</v>
      </c>
      <c r="I2" t="s">
        <v>75</v>
      </c>
      <c r="J2" t="s">
        <v>74</v>
      </c>
      <c r="K2" t="s">
        <v>76</v>
      </c>
      <c r="L2" t="s">
        <v>77</v>
      </c>
      <c r="M2" t="s">
        <v>78</v>
      </c>
      <c r="N2" t="s">
        <v>79</v>
      </c>
      <c r="O2" t="s">
        <v>80</v>
      </c>
      <c r="P2" t="s">
        <v>81</v>
      </c>
      <c r="Q2" t="s">
        <v>84</v>
      </c>
      <c r="R2" t="s">
        <v>85</v>
      </c>
      <c r="S2" t="s">
        <v>82</v>
      </c>
      <c r="AF2" t="s">
        <v>86</v>
      </c>
      <c r="AG2" t="s">
        <v>87</v>
      </c>
      <c r="AH2" t="s">
        <v>88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24.6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1854.23</v>
      </c>
      <c r="BE2">
        <v>0</v>
      </c>
      <c r="BF2">
        <v>901.85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2780.68</v>
      </c>
      <c r="BO2">
        <v>444.92</v>
      </c>
      <c r="BP2">
        <v>111.22</v>
      </c>
      <c r="BQ2">
        <f t="shared" ref="BQ2:BQ65" si="0">(BN2+BO2-BP2)</f>
        <v>3114.38</v>
      </c>
      <c r="BR2" t="s">
        <v>83</v>
      </c>
    </row>
    <row r="3" spans="1:72">
      <c r="A3" t="s">
        <v>89</v>
      </c>
      <c r="B3" t="s">
        <v>90</v>
      </c>
      <c r="C3" t="s">
        <v>71</v>
      </c>
      <c r="D3" t="s">
        <v>72</v>
      </c>
      <c r="E3" t="s">
        <v>73</v>
      </c>
      <c r="F3" t="s">
        <v>74</v>
      </c>
      <c r="G3" t="s">
        <v>74</v>
      </c>
      <c r="H3" t="s">
        <v>74</v>
      </c>
      <c r="I3" t="s">
        <v>75</v>
      </c>
      <c r="J3" t="s">
        <v>74</v>
      </c>
      <c r="K3" t="s">
        <v>91</v>
      </c>
      <c r="L3" t="s">
        <v>92</v>
      </c>
      <c r="M3" t="s">
        <v>93</v>
      </c>
      <c r="N3" t="s">
        <v>94</v>
      </c>
      <c r="O3" t="s">
        <v>95</v>
      </c>
      <c r="P3" t="s">
        <v>96</v>
      </c>
      <c r="Q3" t="s">
        <v>98</v>
      </c>
      <c r="R3" t="s">
        <v>99</v>
      </c>
      <c r="S3" t="s">
        <v>97</v>
      </c>
      <c r="AF3" t="s">
        <v>100</v>
      </c>
      <c r="AG3" t="s">
        <v>101</v>
      </c>
      <c r="AH3" t="s">
        <v>102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1.8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228.94</v>
      </c>
      <c r="BE3">
        <v>0</v>
      </c>
      <c r="BF3">
        <v>249.68</v>
      </c>
      <c r="BG3">
        <v>0</v>
      </c>
      <c r="BH3">
        <v>0</v>
      </c>
      <c r="BI3">
        <v>157.19999999999999</v>
      </c>
      <c r="BJ3">
        <v>0</v>
      </c>
      <c r="BK3">
        <v>0</v>
      </c>
      <c r="BL3">
        <v>0</v>
      </c>
      <c r="BM3">
        <v>0</v>
      </c>
      <c r="BN3">
        <v>637.62</v>
      </c>
      <c r="BO3">
        <v>102.02</v>
      </c>
      <c r="BP3">
        <v>25.51</v>
      </c>
      <c r="BQ3">
        <f t="shared" si="0"/>
        <v>714.13</v>
      </c>
      <c r="BR3" t="s">
        <v>94</v>
      </c>
    </row>
    <row r="4" spans="1:72">
      <c r="A4" t="s">
        <v>103</v>
      </c>
      <c r="B4" t="s">
        <v>104</v>
      </c>
      <c r="C4" t="s">
        <v>71</v>
      </c>
      <c r="D4" t="s">
        <v>72</v>
      </c>
      <c r="E4" t="s">
        <v>73</v>
      </c>
      <c r="F4" t="s">
        <v>74</v>
      </c>
      <c r="G4">
        <v>240699</v>
      </c>
      <c r="H4" t="s">
        <v>74</v>
      </c>
      <c r="I4" t="s">
        <v>75</v>
      </c>
      <c r="J4" t="s">
        <v>74</v>
      </c>
      <c r="K4" t="s">
        <v>105</v>
      </c>
      <c r="L4" t="s">
        <v>77</v>
      </c>
      <c r="M4" t="s">
        <v>78</v>
      </c>
      <c r="N4" t="s">
        <v>106</v>
      </c>
      <c r="O4" t="s">
        <v>107</v>
      </c>
      <c r="P4" t="s">
        <v>108</v>
      </c>
      <c r="Q4" t="s">
        <v>110</v>
      </c>
      <c r="R4" t="s">
        <v>99</v>
      </c>
      <c r="S4" t="s">
        <v>109</v>
      </c>
      <c r="AF4" t="s">
        <v>111</v>
      </c>
      <c r="AG4" t="s">
        <v>112</v>
      </c>
      <c r="AH4" t="s">
        <v>113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5.45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608.36</v>
      </c>
      <c r="BE4">
        <v>0</v>
      </c>
      <c r="BF4">
        <v>249.68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863.49</v>
      </c>
      <c r="BO4">
        <v>138.16</v>
      </c>
      <c r="BP4">
        <v>34.54</v>
      </c>
      <c r="BQ4">
        <f t="shared" si="0"/>
        <v>967.11</v>
      </c>
      <c r="BR4" t="s">
        <v>106</v>
      </c>
    </row>
    <row r="5" spans="1:72">
      <c r="A5" t="s">
        <v>114</v>
      </c>
      <c r="B5" t="s">
        <v>115</v>
      </c>
      <c r="C5" t="s">
        <v>71</v>
      </c>
      <c r="D5" t="s">
        <v>72</v>
      </c>
      <c r="E5" t="s">
        <v>73</v>
      </c>
      <c r="F5" t="s">
        <v>74</v>
      </c>
      <c r="G5" t="s">
        <v>116</v>
      </c>
      <c r="H5" t="s">
        <v>74</v>
      </c>
      <c r="I5" t="s">
        <v>75</v>
      </c>
      <c r="J5" t="s">
        <v>74</v>
      </c>
      <c r="K5">
        <v>52339435</v>
      </c>
      <c r="L5" t="s">
        <v>117</v>
      </c>
      <c r="M5" t="s">
        <v>118</v>
      </c>
      <c r="N5" t="s">
        <v>119</v>
      </c>
      <c r="O5" t="s">
        <v>120</v>
      </c>
      <c r="P5" t="s">
        <v>121</v>
      </c>
      <c r="Q5" t="s">
        <v>123</v>
      </c>
      <c r="R5" t="s">
        <v>99</v>
      </c>
      <c r="S5" t="s">
        <v>122</v>
      </c>
      <c r="AF5" t="s">
        <v>124</v>
      </c>
      <c r="AG5" t="s">
        <v>125</v>
      </c>
      <c r="AH5" t="s">
        <v>124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8.35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905.61</v>
      </c>
      <c r="BE5">
        <v>0</v>
      </c>
      <c r="BF5">
        <v>249.68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1163.6400000000001</v>
      </c>
      <c r="BO5">
        <v>186.19</v>
      </c>
      <c r="BP5">
        <v>46.54</v>
      </c>
      <c r="BQ5">
        <f t="shared" si="0"/>
        <v>1303.2900000000002</v>
      </c>
      <c r="BR5" t="s">
        <v>119</v>
      </c>
    </row>
    <row r="6" spans="1:72">
      <c r="A6" t="s">
        <v>126</v>
      </c>
      <c r="B6" t="s">
        <v>127</v>
      </c>
      <c r="C6" t="s">
        <v>71</v>
      </c>
      <c r="D6" t="s">
        <v>72</v>
      </c>
      <c r="E6" t="s">
        <v>73</v>
      </c>
      <c r="F6" t="s">
        <v>74</v>
      </c>
      <c r="G6" t="s">
        <v>128</v>
      </c>
      <c r="H6" t="s">
        <v>74</v>
      </c>
      <c r="I6" t="s">
        <v>75</v>
      </c>
      <c r="J6" t="s">
        <v>74</v>
      </c>
      <c r="K6">
        <v>52339436</v>
      </c>
      <c r="L6" t="s">
        <v>117</v>
      </c>
      <c r="M6" t="s">
        <v>118</v>
      </c>
      <c r="N6" t="s">
        <v>129</v>
      </c>
      <c r="O6" t="s">
        <v>130</v>
      </c>
      <c r="P6" t="s">
        <v>121</v>
      </c>
      <c r="Q6" t="s">
        <v>131</v>
      </c>
      <c r="R6" t="s">
        <v>99</v>
      </c>
      <c r="S6" t="s">
        <v>122</v>
      </c>
      <c r="AF6" t="s">
        <v>132</v>
      </c>
      <c r="AG6" t="s">
        <v>133</v>
      </c>
      <c r="AH6" t="s">
        <v>132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8.6300000000000008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918.46</v>
      </c>
      <c r="BE6">
        <v>0</v>
      </c>
      <c r="BF6">
        <v>157.19999999999999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1084.29</v>
      </c>
      <c r="BO6">
        <v>173.48</v>
      </c>
      <c r="BP6">
        <v>43.38</v>
      </c>
      <c r="BQ6">
        <f t="shared" si="0"/>
        <v>1214.3899999999999</v>
      </c>
      <c r="BR6" t="s">
        <v>129</v>
      </c>
    </row>
    <row r="7" spans="1:72">
      <c r="A7" t="s">
        <v>134</v>
      </c>
      <c r="B7" t="s">
        <v>135</v>
      </c>
      <c r="C7" t="s">
        <v>71</v>
      </c>
      <c r="D7" t="s">
        <v>72</v>
      </c>
      <c r="E7" t="s">
        <v>73</v>
      </c>
      <c r="F7" t="s">
        <v>74</v>
      </c>
      <c r="G7">
        <v>240994</v>
      </c>
      <c r="H7" t="s">
        <v>74</v>
      </c>
      <c r="I7" t="s">
        <v>75</v>
      </c>
      <c r="J7" t="s">
        <v>74</v>
      </c>
      <c r="K7" t="s">
        <v>136</v>
      </c>
      <c r="L7" t="s">
        <v>77</v>
      </c>
      <c r="M7" t="s">
        <v>78</v>
      </c>
      <c r="N7" t="s">
        <v>137</v>
      </c>
      <c r="O7" t="s">
        <v>138</v>
      </c>
      <c r="P7" t="s">
        <v>139</v>
      </c>
      <c r="Q7" t="s">
        <v>142</v>
      </c>
      <c r="R7" t="s">
        <v>99</v>
      </c>
      <c r="S7" t="s">
        <v>140</v>
      </c>
      <c r="AF7" t="s">
        <v>143</v>
      </c>
      <c r="AG7" t="s">
        <v>144</v>
      </c>
      <c r="AH7" t="s">
        <v>145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13.05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1216.6400000000001</v>
      </c>
      <c r="BE7">
        <v>0</v>
      </c>
      <c r="BF7">
        <v>268.52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1498.21</v>
      </c>
      <c r="BO7">
        <v>239.71</v>
      </c>
      <c r="BP7">
        <v>59.93</v>
      </c>
      <c r="BQ7">
        <f t="shared" si="0"/>
        <v>1677.99</v>
      </c>
      <c r="BR7" t="s">
        <v>141</v>
      </c>
    </row>
    <row r="8" spans="1:72">
      <c r="A8" t="s">
        <v>146</v>
      </c>
      <c r="B8" t="s">
        <v>147</v>
      </c>
      <c r="C8" t="s">
        <v>71</v>
      </c>
      <c r="D8" t="s">
        <v>72</v>
      </c>
      <c r="E8" t="s">
        <v>73</v>
      </c>
      <c r="F8" t="s">
        <v>74</v>
      </c>
      <c r="G8" t="s">
        <v>148</v>
      </c>
      <c r="H8" t="s">
        <v>74</v>
      </c>
      <c r="I8" t="s">
        <v>75</v>
      </c>
      <c r="J8" t="s">
        <v>74</v>
      </c>
      <c r="K8">
        <v>61913600</v>
      </c>
      <c r="L8" t="s">
        <v>149</v>
      </c>
      <c r="M8" t="s">
        <v>150</v>
      </c>
      <c r="N8" t="s">
        <v>94</v>
      </c>
      <c r="O8" t="s">
        <v>151</v>
      </c>
      <c r="P8" t="s">
        <v>152</v>
      </c>
      <c r="Q8" t="s">
        <v>110</v>
      </c>
      <c r="R8" t="s">
        <v>154</v>
      </c>
      <c r="S8" t="s">
        <v>153</v>
      </c>
      <c r="AF8" t="s">
        <v>155</v>
      </c>
      <c r="AG8" t="s">
        <v>156</v>
      </c>
      <c r="AH8" t="s">
        <v>157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4.05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20</v>
      </c>
      <c r="BC8">
        <v>0</v>
      </c>
      <c r="BD8">
        <v>506.51</v>
      </c>
      <c r="BE8">
        <v>0</v>
      </c>
      <c r="BF8">
        <v>249.68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780.24</v>
      </c>
      <c r="BO8">
        <v>124.84</v>
      </c>
      <c r="BP8">
        <v>30.41</v>
      </c>
      <c r="BQ8">
        <f t="shared" si="0"/>
        <v>874.67000000000007</v>
      </c>
      <c r="BR8" t="s">
        <v>94</v>
      </c>
    </row>
    <row r="9" spans="1:72">
      <c r="A9" t="s">
        <v>158</v>
      </c>
      <c r="B9" t="s">
        <v>159</v>
      </c>
      <c r="C9" t="s">
        <v>71</v>
      </c>
      <c r="D9" t="s">
        <v>72</v>
      </c>
      <c r="E9" t="s">
        <v>73</v>
      </c>
      <c r="F9" t="s">
        <v>74</v>
      </c>
      <c r="G9">
        <v>241161</v>
      </c>
      <c r="H9" t="s">
        <v>74</v>
      </c>
      <c r="I9" t="s">
        <v>75</v>
      </c>
      <c r="J9" t="s">
        <v>74</v>
      </c>
      <c r="K9" t="s">
        <v>160</v>
      </c>
      <c r="L9" t="s">
        <v>77</v>
      </c>
      <c r="M9" t="s">
        <v>78</v>
      </c>
      <c r="N9" t="s">
        <v>161</v>
      </c>
      <c r="O9" t="s">
        <v>162</v>
      </c>
      <c r="P9" t="s">
        <v>163</v>
      </c>
      <c r="Q9" t="s">
        <v>110</v>
      </c>
      <c r="R9" t="s">
        <v>165</v>
      </c>
      <c r="S9" t="s">
        <v>164</v>
      </c>
      <c r="AF9" t="s">
        <v>166</v>
      </c>
      <c r="AG9" t="s">
        <v>167</v>
      </c>
      <c r="AH9" t="s">
        <v>168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11.25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1065.45</v>
      </c>
      <c r="BE9">
        <v>0</v>
      </c>
      <c r="BF9">
        <v>631.11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1707.81</v>
      </c>
      <c r="BO9">
        <v>273.25</v>
      </c>
      <c r="BP9">
        <v>68.31</v>
      </c>
      <c r="BQ9">
        <f t="shared" si="0"/>
        <v>1912.75</v>
      </c>
      <c r="BR9" t="s">
        <v>83</v>
      </c>
    </row>
    <row r="10" spans="1:72">
      <c r="A10" t="s">
        <v>169</v>
      </c>
      <c r="B10" t="s">
        <v>170</v>
      </c>
      <c r="C10" t="s">
        <v>71</v>
      </c>
      <c r="D10" t="s">
        <v>72</v>
      </c>
      <c r="E10" t="s">
        <v>73</v>
      </c>
      <c r="F10" t="s">
        <v>74</v>
      </c>
      <c r="G10">
        <v>241179</v>
      </c>
      <c r="H10" t="s">
        <v>74</v>
      </c>
      <c r="I10" t="s">
        <v>75</v>
      </c>
      <c r="J10" t="s">
        <v>74</v>
      </c>
      <c r="K10" t="s">
        <v>171</v>
      </c>
      <c r="L10" t="s">
        <v>77</v>
      </c>
      <c r="M10" t="s">
        <v>78</v>
      </c>
      <c r="N10" t="s">
        <v>172</v>
      </c>
      <c r="O10" t="s">
        <v>173</v>
      </c>
      <c r="P10" t="s">
        <v>163</v>
      </c>
      <c r="Q10" t="s">
        <v>131</v>
      </c>
      <c r="R10" t="s">
        <v>99</v>
      </c>
      <c r="S10" t="s">
        <v>174</v>
      </c>
      <c r="AF10" t="s">
        <v>176</v>
      </c>
      <c r="AG10" t="s">
        <v>177</v>
      </c>
      <c r="AH10" t="s">
        <v>178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11.64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1129.92</v>
      </c>
      <c r="BE10">
        <v>0</v>
      </c>
      <c r="BF10">
        <v>579.02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1720.58</v>
      </c>
      <c r="BO10">
        <v>275.29000000000002</v>
      </c>
      <c r="BP10">
        <v>68.83</v>
      </c>
      <c r="BQ10">
        <f t="shared" si="0"/>
        <v>1927.04</v>
      </c>
      <c r="BR10" t="s">
        <v>175</v>
      </c>
    </row>
    <row r="11" spans="1:72">
      <c r="A11" t="s">
        <v>179</v>
      </c>
      <c r="B11" t="s">
        <v>180</v>
      </c>
      <c r="C11" t="s">
        <v>71</v>
      </c>
      <c r="D11" t="s">
        <v>72</v>
      </c>
      <c r="E11" t="s">
        <v>73</v>
      </c>
      <c r="F11" t="s">
        <v>74</v>
      </c>
      <c r="G11">
        <v>241194</v>
      </c>
      <c r="H11" t="s">
        <v>74</v>
      </c>
      <c r="I11" t="s">
        <v>75</v>
      </c>
      <c r="J11" t="s">
        <v>74</v>
      </c>
      <c r="K11" t="s">
        <v>181</v>
      </c>
      <c r="L11" t="s">
        <v>77</v>
      </c>
      <c r="M11" t="s">
        <v>78</v>
      </c>
      <c r="N11" t="s">
        <v>137</v>
      </c>
      <c r="O11" t="s">
        <v>182</v>
      </c>
      <c r="P11" t="s">
        <v>163</v>
      </c>
      <c r="Q11" t="s">
        <v>110</v>
      </c>
      <c r="R11" t="s">
        <v>99</v>
      </c>
      <c r="S11" t="s">
        <v>183</v>
      </c>
      <c r="AF11" t="s">
        <v>184</v>
      </c>
      <c r="AG11" t="s">
        <v>185</v>
      </c>
      <c r="AH11" t="s">
        <v>186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24.23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1921.86</v>
      </c>
      <c r="BE11">
        <v>0</v>
      </c>
      <c r="BF11">
        <v>394.62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2340.71</v>
      </c>
      <c r="BO11">
        <v>374.52</v>
      </c>
      <c r="BP11">
        <v>93.62</v>
      </c>
      <c r="BQ11">
        <f t="shared" si="0"/>
        <v>2621.61</v>
      </c>
      <c r="BR11" t="s">
        <v>141</v>
      </c>
    </row>
    <row r="12" spans="1:72">
      <c r="A12" t="s">
        <v>187</v>
      </c>
      <c r="B12" t="s">
        <v>188</v>
      </c>
      <c r="C12" t="s">
        <v>71</v>
      </c>
      <c r="D12" t="s">
        <v>72</v>
      </c>
      <c r="E12" t="s">
        <v>73</v>
      </c>
      <c r="F12" t="s">
        <v>74</v>
      </c>
      <c r="G12" t="s">
        <v>74</v>
      </c>
      <c r="H12" t="s">
        <v>74</v>
      </c>
      <c r="I12" t="s">
        <v>75</v>
      </c>
      <c r="J12" t="s">
        <v>74</v>
      </c>
      <c r="K12">
        <v>63898813</v>
      </c>
      <c r="L12" t="s">
        <v>189</v>
      </c>
      <c r="M12" t="s">
        <v>190</v>
      </c>
      <c r="N12" t="s">
        <v>191</v>
      </c>
      <c r="O12" t="s">
        <v>192</v>
      </c>
      <c r="P12" t="s">
        <v>193</v>
      </c>
      <c r="Q12" t="s">
        <v>196</v>
      </c>
      <c r="R12" t="s">
        <v>99</v>
      </c>
      <c r="S12" t="s">
        <v>194</v>
      </c>
      <c r="AF12" t="s">
        <v>197</v>
      </c>
      <c r="AG12" t="s">
        <v>198</v>
      </c>
      <c r="AH12" t="s">
        <v>199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34.19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1840.14</v>
      </c>
      <c r="BE12">
        <v>0</v>
      </c>
      <c r="BF12">
        <v>394.62</v>
      </c>
      <c r="BG12">
        <v>0</v>
      </c>
      <c r="BH12">
        <v>0</v>
      </c>
      <c r="BI12">
        <v>450.64</v>
      </c>
      <c r="BJ12">
        <v>0</v>
      </c>
      <c r="BK12">
        <v>0</v>
      </c>
      <c r="BL12">
        <v>0</v>
      </c>
      <c r="BM12">
        <v>0</v>
      </c>
      <c r="BN12">
        <v>2719.59</v>
      </c>
      <c r="BO12">
        <v>435.13</v>
      </c>
      <c r="BP12">
        <v>108.79</v>
      </c>
      <c r="BQ12">
        <f t="shared" si="0"/>
        <v>3045.9300000000003</v>
      </c>
      <c r="BR12" t="s">
        <v>195</v>
      </c>
    </row>
    <row r="13" spans="1:72">
      <c r="A13" t="s">
        <v>200</v>
      </c>
      <c r="B13" t="s">
        <v>201</v>
      </c>
      <c r="C13" t="s">
        <v>71</v>
      </c>
      <c r="D13" t="s">
        <v>72</v>
      </c>
      <c r="E13" t="s">
        <v>73</v>
      </c>
      <c r="F13" t="s">
        <v>74</v>
      </c>
      <c r="G13">
        <v>241603</v>
      </c>
      <c r="H13" t="s">
        <v>74</v>
      </c>
      <c r="I13" t="s">
        <v>75</v>
      </c>
      <c r="J13" t="s">
        <v>74</v>
      </c>
      <c r="K13" t="s">
        <v>202</v>
      </c>
      <c r="L13" t="s">
        <v>77</v>
      </c>
      <c r="M13" t="s">
        <v>78</v>
      </c>
      <c r="N13" t="s">
        <v>203</v>
      </c>
      <c r="O13" t="s">
        <v>204</v>
      </c>
      <c r="P13" t="s">
        <v>205</v>
      </c>
      <c r="Q13" t="s">
        <v>98</v>
      </c>
      <c r="R13" t="s">
        <v>99</v>
      </c>
      <c r="S13" t="s">
        <v>206</v>
      </c>
      <c r="AF13" t="s">
        <v>207</v>
      </c>
      <c r="AG13" t="s">
        <v>208</v>
      </c>
      <c r="AH13" t="s">
        <v>209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16.34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1408.02</v>
      </c>
      <c r="BE13">
        <v>0</v>
      </c>
      <c r="BF13">
        <v>552.64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1977</v>
      </c>
      <c r="BO13">
        <v>316.31</v>
      </c>
      <c r="BP13">
        <v>79.08</v>
      </c>
      <c r="BQ13">
        <f t="shared" si="0"/>
        <v>2214.23</v>
      </c>
      <c r="BR13" t="s">
        <v>203</v>
      </c>
    </row>
    <row r="14" spans="1:72">
      <c r="A14" t="s">
        <v>210</v>
      </c>
      <c r="B14" t="s">
        <v>211</v>
      </c>
      <c r="C14" t="s">
        <v>71</v>
      </c>
      <c r="D14" t="s">
        <v>72</v>
      </c>
      <c r="E14" t="s">
        <v>73</v>
      </c>
      <c r="F14" t="s">
        <v>74</v>
      </c>
      <c r="G14">
        <v>240226</v>
      </c>
      <c r="H14" t="s">
        <v>74</v>
      </c>
      <c r="I14" t="s">
        <v>75</v>
      </c>
      <c r="K14" t="s">
        <v>212</v>
      </c>
      <c r="L14" t="s">
        <v>77</v>
      </c>
      <c r="M14" t="s">
        <v>78</v>
      </c>
      <c r="N14" t="s">
        <v>191</v>
      </c>
      <c r="O14" t="s">
        <v>213</v>
      </c>
      <c r="P14" t="s">
        <v>214</v>
      </c>
      <c r="Q14" t="s">
        <v>110</v>
      </c>
      <c r="R14" t="s">
        <v>99</v>
      </c>
      <c r="S14" t="s">
        <v>215</v>
      </c>
      <c r="AF14" t="s">
        <v>216</v>
      </c>
      <c r="AG14" t="s">
        <v>133</v>
      </c>
      <c r="AH14" t="s">
        <v>217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5.51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513.13</v>
      </c>
      <c r="BE14">
        <v>0</v>
      </c>
      <c r="BF14">
        <v>249.68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768.32</v>
      </c>
      <c r="BO14">
        <v>122.93</v>
      </c>
      <c r="BP14">
        <v>30.74</v>
      </c>
      <c r="BQ14">
        <f t="shared" si="0"/>
        <v>860.51</v>
      </c>
      <c r="BR14" t="s">
        <v>195</v>
      </c>
    </row>
    <row r="15" spans="1:72">
      <c r="A15" t="s">
        <v>218</v>
      </c>
      <c r="B15" t="s">
        <v>219</v>
      </c>
      <c r="C15" t="s">
        <v>71</v>
      </c>
      <c r="D15" t="s">
        <v>72</v>
      </c>
      <c r="E15" t="s">
        <v>73</v>
      </c>
      <c r="F15" t="s">
        <v>74</v>
      </c>
      <c r="G15">
        <v>242134</v>
      </c>
      <c r="H15" t="s">
        <v>74</v>
      </c>
      <c r="I15" t="s">
        <v>75</v>
      </c>
      <c r="J15" t="s">
        <v>74</v>
      </c>
      <c r="K15" t="s">
        <v>220</v>
      </c>
      <c r="L15" t="s">
        <v>77</v>
      </c>
      <c r="M15" t="s">
        <v>78</v>
      </c>
      <c r="N15" t="s">
        <v>191</v>
      </c>
      <c r="O15" t="s">
        <v>213</v>
      </c>
      <c r="P15" t="s">
        <v>221</v>
      </c>
      <c r="Q15" t="s">
        <v>84</v>
      </c>
      <c r="R15" t="s">
        <v>85</v>
      </c>
      <c r="S15" t="s">
        <v>222</v>
      </c>
      <c r="AF15" t="s">
        <v>223</v>
      </c>
      <c r="AG15" t="s">
        <v>224</v>
      </c>
      <c r="AH15" t="s">
        <v>225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21.59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1565.61</v>
      </c>
      <c r="BE15">
        <v>0</v>
      </c>
      <c r="BF15">
        <v>394.62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1981.82</v>
      </c>
      <c r="BO15">
        <v>317.08999999999997</v>
      </c>
      <c r="BP15">
        <v>79.260000000000005</v>
      </c>
      <c r="BQ15">
        <f t="shared" si="0"/>
        <v>2219.6499999999996</v>
      </c>
      <c r="BR15" t="s">
        <v>195</v>
      </c>
    </row>
    <row r="16" spans="1:72">
      <c r="A16" t="s">
        <v>226</v>
      </c>
      <c r="B16" t="s">
        <v>227</v>
      </c>
      <c r="C16" t="s">
        <v>71</v>
      </c>
      <c r="D16" t="s">
        <v>72</v>
      </c>
      <c r="E16" t="s">
        <v>73</v>
      </c>
      <c r="F16" t="s">
        <v>74</v>
      </c>
      <c r="G16">
        <v>242606</v>
      </c>
      <c r="H16" t="s">
        <v>74</v>
      </c>
      <c r="I16" t="s">
        <v>75</v>
      </c>
      <c r="J16" t="s">
        <v>74</v>
      </c>
      <c r="K16" t="s">
        <v>228</v>
      </c>
      <c r="L16" t="s">
        <v>77</v>
      </c>
      <c r="M16" t="s">
        <v>78</v>
      </c>
      <c r="N16" t="s">
        <v>229</v>
      </c>
      <c r="O16" t="s">
        <v>230</v>
      </c>
      <c r="P16" t="s">
        <v>231</v>
      </c>
      <c r="Q16" t="s">
        <v>110</v>
      </c>
      <c r="R16" t="s">
        <v>233</v>
      </c>
      <c r="S16" t="s">
        <v>232</v>
      </c>
      <c r="AF16" t="s">
        <v>166</v>
      </c>
      <c r="AG16" t="s">
        <v>234</v>
      </c>
      <c r="AH16" t="s">
        <v>235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11.81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1140.8</v>
      </c>
      <c r="BE16">
        <v>0</v>
      </c>
      <c r="BF16">
        <v>394.62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1547.23</v>
      </c>
      <c r="BO16">
        <v>247.56</v>
      </c>
      <c r="BP16">
        <v>61.88</v>
      </c>
      <c r="BQ16">
        <f t="shared" si="0"/>
        <v>1732.9099999999999</v>
      </c>
      <c r="BR16" t="s">
        <v>229</v>
      </c>
    </row>
    <row r="17" spans="1:70">
      <c r="A17" t="s">
        <v>236</v>
      </c>
      <c r="B17" t="s">
        <v>237</v>
      </c>
      <c r="C17" t="s">
        <v>71</v>
      </c>
      <c r="D17" t="s">
        <v>72</v>
      </c>
      <c r="E17" t="s">
        <v>73</v>
      </c>
      <c r="F17" t="s">
        <v>74</v>
      </c>
      <c r="G17">
        <v>242613</v>
      </c>
      <c r="H17" t="s">
        <v>74</v>
      </c>
      <c r="I17" t="s">
        <v>75</v>
      </c>
      <c r="J17" t="s">
        <v>74</v>
      </c>
      <c r="K17" t="s">
        <v>238</v>
      </c>
      <c r="L17" t="s">
        <v>77</v>
      </c>
      <c r="M17" t="s">
        <v>78</v>
      </c>
      <c r="N17" t="s">
        <v>239</v>
      </c>
      <c r="O17" t="s">
        <v>240</v>
      </c>
      <c r="P17" t="s">
        <v>231</v>
      </c>
      <c r="Q17" t="s">
        <v>243</v>
      </c>
      <c r="R17" t="s">
        <v>99</v>
      </c>
      <c r="S17" t="s">
        <v>241</v>
      </c>
      <c r="AF17" t="s">
        <v>244</v>
      </c>
      <c r="AG17" t="s">
        <v>245</v>
      </c>
      <c r="AH17" t="s">
        <v>246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30.16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2220.11</v>
      </c>
      <c r="BE17">
        <v>0</v>
      </c>
      <c r="BF17">
        <v>901.85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3152.12</v>
      </c>
      <c r="BO17">
        <v>504.35</v>
      </c>
      <c r="BP17">
        <v>126.08</v>
      </c>
      <c r="BQ17">
        <f t="shared" si="0"/>
        <v>3530.39</v>
      </c>
      <c r="BR17" t="s">
        <v>242</v>
      </c>
    </row>
    <row r="18" spans="1:70">
      <c r="A18" t="s">
        <v>247</v>
      </c>
      <c r="B18" t="s">
        <v>248</v>
      </c>
      <c r="C18" t="s">
        <v>71</v>
      </c>
      <c r="D18" t="s">
        <v>72</v>
      </c>
      <c r="E18" t="s">
        <v>73</v>
      </c>
      <c r="F18" t="s">
        <v>74</v>
      </c>
      <c r="G18">
        <v>242588</v>
      </c>
      <c r="H18" t="s">
        <v>74</v>
      </c>
      <c r="I18" t="s">
        <v>75</v>
      </c>
      <c r="K18" t="s">
        <v>249</v>
      </c>
      <c r="L18" t="s">
        <v>77</v>
      </c>
      <c r="M18" t="s">
        <v>78</v>
      </c>
      <c r="N18" t="s">
        <v>250</v>
      </c>
      <c r="O18" t="s">
        <v>251</v>
      </c>
      <c r="P18" t="s">
        <v>231</v>
      </c>
      <c r="Q18" t="s">
        <v>142</v>
      </c>
      <c r="R18" t="s">
        <v>99</v>
      </c>
      <c r="S18" t="s">
        <v>252</v>
      </c>
      <c r="AF18" t="s">
        <v>254</v>
      </c>
      <c r="AG18" t="s">
        <v>101</v>
      </c>
      <c r="AH18" t="s">
        <v>100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3.2</v>
      </c>
      <c r="AT18">
        <v>0</v>
      </c>
      <c r="AU18">
        <v>0</v>
      </c>
      <c r="AV18">
        <v>100.38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402.04</v>
      </c>
      <c r="BE18">
        <v>0</v>
      </c>
      <c r="BF18">
        <v>406.5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912.12</v>
      </c>
      <c r="BO18">
        <v>145.94</v>
      </c>
      <c r="BP18">
        <v>32.47</v>
      </c>
      <c r="BQ18">
        <f t="shared" si="0"/>
        <v>1025.5899999999999</v>
      </c>
      <c r="BR18" t="s">
        <v>253</v>
      </c>
    </row>
    <row r="19" spans="1:70">
      <c r="A19" t="s">
        <v>255</v>
      </c>
      <c r="B19" t="s">
        <v>256</v>
      </c>
      <c r="C19" t="s">
        <v>71</v>
      </c>
      <c r="D19" t="s">
        <v>72</v>
      </c>
      <c r="E19" t="s">
        <v>73</v>
      </c>
      <c r="F19" t="s">
        <v>74</v>
      </c>
      <c r="G19">
        <v>242650</v>
      </c>
      <c r="H19" t="s">
        <v>74</v>
      </c>
      <c r="I19" t="s">
        <v>75</v>
      </c>
      <c r="J19" t="s">
        <v>74</v>
      </c>
      <c r="K19" t="s">
        <v>257</v>
      </c>
      <c r="L19" t="s">
        <v>77</v>
      </c>
      <c r="M19" t="s">
        <v>78</v>
      </c>
      <c r="N19" t="s">
        <v>258</v>
      </c>
      <c r="O19" t="s">
        <v>259</v>
      </c>
      <c r="P19" t="s">
        <v>231</v>
      </c>
      <c r="Q19" t="s">
        <v>142</v>
      </c>
      <c r="R19" t="s">
        <v>99</v>
      </c>
      <c r="S19" t="s">
        <v>241</v>
      </c>
      <c r="AF19" t="s">
        <v>260</v>
      </c>
      <c r="AG19" t="s">
        <v>261</v>
      </c>
      <c r="AH19" t="s">
        <v>262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12.52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1229.5899999999999</v>
      </c>
      <c r="BE19">
        <v>0</v>
      </c>
      <c r="BF19">
        <v>315.64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1557.75</v>
      </c>
      <c r="BO19">
        <v>249.23</v>
      </c>
      <c r="BP19">
        <v>62.31</v>
      </c>
      <c r="BQ19">
        <f t="shared" si="0"/>
        <v>1744.67</v>
      </c>
      <c r="BR19" t="s">
        <v>258</v>
      </c>
    </row>
    <row r="20" spans="1:70">
      <c r="A20" t="s">
        <v>263</v>
      </c>
      <c r="B20" t="s">
        <v>264</v>
      </c>
      <c r="C20" t="s">
        <v>71</v>
      </c>
      <c r="D20" t="s">
        <v>72</v>
      </c>
      <c r="E20" t="s">
        <v>73</v>
      </c>
      <c r="F20" t="s">
        <v>74</v>
      </c>
      <c r="G20">
        <v>242661</v>
      </c>
      <c r="H20" t="s">
        <v>74</v>
      </c>
      <c r="I20" t="s">
        <v>75</v>
      </c>
      <c r="J20" t="s">
        <v>74</v>
      </c>
      <c r="K20" t="s">
        <v>265</v>
      </c>
      <c r="L20" t="s">
        <v>77</v>
      </c>
      <c r="M20" t="s">
        <v>78</v>
      </c>
      <c r="N20" t="s">
        <v>83</v>
      </c>
      <c r="O20" t="s">
        <v>266</v>
      </c>
      <c r="P20" t="s">
        <v>267</v>
      </c>
      <c r="Q20" t="s">
        <v>269</v>
      </c>
      <c r="R20" t="s">
        <v>85</v>
      </c>
      <c r="S20" t="s">
        <v>268</v>
      </c>
      <c r="AF20" t="s">
        <v>270</v>
      </c>
      <c r="AG20" t="s">
        <v>271</v>
      </c>
      <c r="AH20" t="s">
        <v>272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4.59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570.55999999999995</v>
      </c>
      <c r="BE20">
        <v>0</v>
      </c>
      <c r="BF20">
        <v>360.46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935.61</v>
      </c>
      <c r="BO20">
        <v>149.69</v>
      </c>
      <c r="BP20">
        <v>37.42</v>
      </c>
      <c r="BQ20">
        <f t="shared" si="0"/>
        <v>1047.8799999999999</v>
      </c>
      <c r="BR20" t="s">
        <v>83</v>
      </c>
    </row>
    <row r="21" spans="1:70">
      <c r="A21" t="s">
        <v>273</v>
      </c>
      <c r="B21" t="s">
        <v>274</v>
      </c>
      <c r="C21" t="s">
        <v>71</v>
      </c>
      <c r="D21" t="s">
        <v>72</v>
      </c>
      <c r="E21" t="s">
        <v>73</v>
      </c>
      <c r="F21" t="s">
        <v>74</v>
      </c>
      <c r="G21">
        <v>242685</v>
      </c>
      <c r="H21" t="s">
        <v>74</v>
      </c>
      <c r="I21" t="s">
        <v>75</v>
      </c>
      <c r="K21" t="s">
        <v>275</v>
      </c>
      <c r="L21" t="s">
        <v>77</v>
      </c>
      <c r="M21" t="s">
        <v>78</v>
      </c>
      <c r="N21" t="s">
        <v>137</v>
      </c>
      <c r="O21" t="s">
        <v>276</v>
      </c>
      <c r="P21" t="s">
        <v>267</v>
      </c>
      <c r="Q21" t="s">
        <v>110</v>
      </c>
      <c r="R21" t="s">
        <v>99</v>
      </c>
      <c r="S21" t="s">
        <v>232</v>
      </c>
      <c r="AF21" t="s">
        <v>254</v>
      </c>
      <c r="AG21" t="s">
        <v>277</v>
      </c>
      <c r="AH21" t="s">
        <v>278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14.58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1355.61</v>
      </c>
      <c r="BE21">
        <v>0</v>
      </c>
      <c r="BF21">
        <v>268.52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1638.71</v>
      </c>
      <c r="BO21">
        <v>262.19</v>
      </c>
      <c r="BP21">
        <v>65.540000000000006</v>
      </c>
      <c r="BQ21">
        <f t="shared" si="0"/>
        <v>1835.3600000000001</v>
      </c>
      <c r="BR21" t="s">
        <v>141</v>
      </c>
    </row>
    <row r="22" spans="1:70">
      <c r="A22" t="s">
        <v>279</v>
      </c>
      <c r="B22" t="s">
        <v>280</v>
      </c>
      <c r="C22" t="s">
        <v>71</v>
      </c>
      <c r="D22" t="s">
        <v>72</v>
      </c>
      <c r="E22" t="s">
        <v>73</v>
      </c>
      <c r="F22" t="s">
        <v>74</v>
      </c>
      <c r="G22" t="s">
        <v>281</v>
      </c>
      <c r="H22" t="s">
        <v>74</v>
      </c>
      <c r="I22" t="s">
        <v>75</v>
      </c>
      <c r="J22" t="s">
        <v>74</v>
      </c>
      <c r="K22">
        <v>52339615</v>
      </c>
      <c r="L22" t="s">
        <v>117</v>
      </c>
      <c r="M22" t="s">
        <v>118</v>
      </c>
      <c r="N22" t="s">
        <v>282</v>
      </c>
      <c r="O22" t="s">
        <v>283</v>
      </c>
      <c r="P22" t="s">
        <v>284</v>
      </c>
      <c r="Q22" t="s">
        <v>131</v>
      </c>
      <c r="R22" t="s">
        <v>99</v>
      </c>
      <c r="S22" t="s">
        <v>285</v>
      </c>
      <c r="AF22" t="s">
        <v>113</v>
      </c>
      <c r="AG22" t="s">
        <v>101</v>
      </c>
      <c r="AH22" t="s">
        <v>113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5.12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599.29</v>
      </c>
      <c r="BE22">
        <v>0</v>
      </c>
      <c r="BF22">
        <v>249.68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854.09</v>
      </c>
      <c r="BO22">
        <v>136.66</v>
      </c>
      <c r="BP22">
        <v>34.159999999999997</v>
      </c>
      <c r="BQ22">
        <f t="shared" si="0"/>
        <v>956.59</v>
      </c>
      <c r="BR22" t="s">
        <v>286</v>
      </c>
    </row>
    <row r="23" spans="1:70">
      <c r="A23" t="s">
        <v>287</v>
      </c>
      <c r="B23" t="s">
        <v>288</v>
      </c>
      <c r="C23" t="s">
        <v>71</v>
      </c>
      <c r="D23" t="s">
        <v>289</v>
      </c>
      <c r="E23" t="s">
        <v>73</v>
      </c>
      <c r="F23" t="s">
        <v>74</v>
      </c>
      <c r="G23" t="s">
        <v>290</v>
      </c>
      <c r="H23" t="s">
        <v>74</v>
      </c>
      <c r="I23" t="s">
        <v>75</v>
      </c>
      <c r="K23" t="s">
        <v>291</v>
      </c>
      <c r="L23" t="s">
        <v>77</v>
      </c>
      <c r="M23" t="s">
        <v>78</v>
      </c>
      <c r="N23" t="s">
        <v>292</v>
      </c>
      <c r="O23" t="s">
        <v>293</v>
      </c>
      <c r="P23" t="s">
        <v>81</v>
      </c>
      <c r="V23">
        <v>1</v>
      </c>
      <c r="AF23" t="s">
        <v>295</v>
      </c>
      <c r="AG23" t="s">
        <v>296</v>
      </c>
      <c r="AH23" t="s">
        <v>295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0.15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375.85</v>
      </c>
      <c r="BE23">
        <v>0</v>
      </c>
      <c r="BF23">
        <v>40</v>
      </c>
      <c r="BG23">
        <v>0</v>
      </c>
      <c r="BH23">
        <v>0</v>
      </c>
      <c r="BI23">
        <v>8</v>
      </c>
      <c r="BJ23">
        <v>0</v>
      </c>
      <c r="BK23">
        <v>0</v>
      </c>
      <c r="BL23">
        <v>0</v>
      </c>
      <c r="BM23">
        <v>0</v>
      </c>
      <c r="BN23">
        <v>424</v>
      </c>
      <c r="BO23">
        <v>67.84</v>
      </c>
      <c r="BP23">
        <v>16.96</v>
      </c>
      <c r="BQ23">
        <f t="shared" si="0"/>
        <v>474.88000000000005</v>
      </c>
      <c r="BR23" t="s">
        <v>294</v>
      </c>
    </row>
    <row r="24" spans="1:70">
      <c r="A24" t="s">
        <v>297</v>
      </c>
      <c r="B24" t="s">
        <v>298</v>
      </c>
      <c r="C24" t="s">
        <v>71</v>
      </c>
      <c r="D24" t="s">
        <v>289</v>
      </c>
      <c r="E24" t="s">
        <v>73</v>
      </c>
      <c r="F24" t="s">
        <v>74</v>
      </c>
      <c r="G24" t="s">
        <v>299</v>
      </c>
      <c r="H24" t="s">
        <v>74</v>
      </c>
      <c r="I24" t="s">
        <v>75</v>
      </c>
      <c r="K24" t="s">
        <v>300</v>
      </c>
      <c r="L24" t="s">
        <v>77</v>
      </c>
      <c r="M24" t="s">
        <v>78</v>
      </c>
      <c r="N24" t="s">
        <v>292</v>
      </c>
      <c r="O24" t="s">
        <v>301</v>
      </c>
      <c r="P24" t="s">
        <v>81</v>
      </c>
      <c r="V24">
        <v>1</v>
      </c>
      <c r="AF24" t="s">
        <v>295</v>
      </c>
      <c r="AG24" t="s">
        <v>296</v>
      </c>
      <c r="AH24" t="s">
        <v>295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0.15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375.85</v>
      </c>
      <c r="BE24">
        <v>0</v>
      </c>
      <c r="BF24">
        <v>40</v>
      </c>
      <c r="BG24">
        <v>0</v>
      </c>
      <c r="BH24">
        <v>0</v>
      </c>
      <c r="BI24">
        <v>8</v>
      </c>
      <c r="BJ24">
        <v>0</v>
      </c>
      <c r="BK24">
        <v>0</v>
      </c>
      <c r="BL24">
        <v>0</v>
      </c>
      <c r="BM24">
        <v>0</v>
      </c>
      <c r="BN24">
        <v>424</v>
      </c>
      <c r="BO24">
        <v>67.84</v>
      </c>
      <c r="BP24">
        <v>16.96</v>
      </c>
      <c r="BQ24">
        <f t="shared" si="0"/>
        <v>474.88000000000005</v>
      </c>
      <c r="BR24" t="s">
        <v>294</v>
      </c>
    </row>
    <row r="25" spans="1:70">
      <c r="A25" t="s">
        <v>302</v>
      </c>
      <c r="B25" t="s">
        <v>303</v>
      </c>
      <c r="C25" t="s">
        <v>71</v>
      </c>
      <c r="D25" t="s">
        <v>289</v>
      </c>
      <c r="E25" t="s">
        <v>73</v>
      </c>
      <c r="F25" t="s">
        <v>74</v>
      </c>
      <c r="G25" t="s">
        <v>304</v>
      </c>
      <c r="H25" t="s">
        <v>305</v>
      </c>
      <c r="I25" t="s">
        <v>75</v>
      </c>
      <c r="J25" t="s">
        <v>74</v>
      </c>
      <c r="K25" t="s">
        <v>306</v>
      </c>
      <c r="L25" t="s">
        <v>77</v>
      </c>
      <c r="M25" t="s">
        <v>78</v>
      </c>
      <c r="N25" t="s">
        <v>307</v>
      </c>
      <c r="O25" t="s">
        <v>308</v>
      </c>
      <c r="P25" t="s">
        <v>81</v>
      </c>
      <c r="V25">
        <v>1</v>
      </c>
      <c r="AF25" t="s">
        <v>295</v>
      </c>
      <c r="AG25" t="s">
        <v>296</v>
      </c>
      <c r="AH25" t="s">
        <v>295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0.15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375.85</v>
      </c>
      <c r="BE25">
        <v>0</v>
      </c>
      <c r="BF25">
        <v>40</v>
      </c>
      <c r="BG25">
        <v>0</v>
      </c>
      <c r="BH25">
        <v>0</v>
      </c>
      <c r="BI25">
        <v>8</v>
      </c>
      <c r="BJ25">
        <v>0</v>
      </c>
      <c r="BK25">
        <v>0</v>
      </c>
      <c r="BL25">
        <v>0</v>
      </c>
      <c r="BM25">
        <v>0</v>
      </c>
      <c r="BN25">
        <v>424</v>
      </c>
      <c r="BO25">
        <v>67.84</v>
      </c>
      <c r="BP25">
        <v>16.96</v>
      </c>
      <c r="BQ25">
        <f t="shared" si="0"/>
        <v>474.88000000000005</v>
      </c>
      <c r="BR25" t="s">
        <v>294</v>
      </c>
    </row>
    <row r="26" spans="1:70">
      <c r="A26" t="s">
        <v>309</v>
      </c>
      <c r="B26" t="s">
        <v>310</v>
      </c>
      <c r="C26" t="s">
        <v>71</v>
      </c>
      <c r="D26" t="s">
        <v>289</v>
      </c>
      <c r="E26" t="s">
        <v>73</v>
      </c>
      <c r="F26" t="s">
        <v>74</v>
      </c>
      <c r="G26">
        <v>240318</v>
      </c>
      <c r="H26" t="s">
        <v>74</v>
      </c>
      <c r="I26" t="s">
        <v>75</v>
      </c>
      <c r="J26" t="s">
        <v>74</v>
      </c>
      <c r="K26" t="s">
        <v>311</v>
      </c>
      <c r="L26" t="s">
        <v>77</v>
      </c>
      <c r="M26" t="s">
        <v>78</v>
      </c>
      <c r="N26" t="s">
        <v>312</v>
      </c>
      <c r="O26" t="s">
        <v>313</v>
      </c>
      <c r="P26" t="s">
        <v>81</v>
      </c>
      <c r="AB26">
        <v>3</v>
      </c>
      <c r="AF26" t="s">
        <v>314</v>
      </c>
      <c r="AG26" t="s">
        <v>296</v>
      </c>
      <c r="AH26" t="s">
        <v>314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0.45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279.54000000000002</v>
      </c>
      <c r="BE26">
        <v>0</v>
      </c>
      <c r="BF26">
        <v>120</v>
      </c>
      <c r="BG26">
        <v>0</v>
      </c>
      <c r="BH26">
        <v>0</v>
      </c>
      <c r="BI26">
        <v>24</v>
      </c>
      <c r="BJ26">
        <v>0</v>
      </c>
      <c r="BK26">
        <v>0</v>
      </c>
      <c r="BL26">
        <v>0</v>
      </c>
      <c r="BM26">
        <v>0</v>
      </c>
      <c r="BN26">
        <v>423.99</v>
      </c>
      <c r="BO26">
        <v>67.84</v>
      </c>
      <c r="BP26">
        <v>16.96</v>
      </c>
      <c r="BQ26">
        <f t="shared" si="0"/>
        <v>474.87000000000006</v>
      </c>
      <c r="BR26" t="s">
        <v>312</v>
      </c>
    </row>
    <row r="27" spans="1:70">
      <c r="A27" t="s">
        <v>315</v>
      </c>
      <c r="B27" t="s">
        <v>316</v>
      </c>
      <c r="C27" t="s">
        <v>71</v>
      </c>
      <c r="D27" t="s">
        <v>289</v>
      </c>
      <c r="E27" t="s">
        <v>73</v>
      </c>
      <c r="F27" t="s">
        <v>74</v>
      </c>
      <c r="G27">
        <v>240251</v>
      </c>
      <c r="H27" t="s">
        <v>74</v>
      </c>
      <c r="I27" t="s">
        <v>75</v>
      </c>
      <c r="J27" t="s">
        <v>74</v>
      </c>
      <c r="K27" t="s">
        <v>317</v>
      </c>
      <c r="L27" t="s">
        <v>77</v>
      </c>
      <c r="M27" t="s">
        <v>78</v>
      </c>
      <c r="N27" t="s">
        <v>318</v>
      </c>
      <c r="O27" t="s">
        <v>319</v>
      </c>
      <c r="P27" t="s">
        <v>81</v>
      </c>
      <c r="V27">
        <v>1</v>
      </c>
      <c r="AF27" t="s">
        <v>295</v>
      </c>
      <c r="AG27" t="s">
        <v>296</v>
      </c>
      <c r="AH27" t="s">
        <v>295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0.15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423.55</v>
      </c>
      <c r="BE27">
        <v>0</v>
      </c>
      <c r="BF27">
        <v>40</v>
      </c>
      <c r="BG27">
        <v>0</v>
      </c>
      <c r="BH27">
        <v>0</v>
      </c>
      <c r="BI27">
        <v>8</v>
      </c>
      <c r="BJ27">
        <v>0</v>
      </c>
      <c r="BK27">
        <v>0</v>
      </c>
      <c r="BL27">
        <v>0</v>
      </c>
      <c r="BM27">
        <v>0</v>
      </c>
      <c r="BN27">
        <v>471.7</v>
      </c>
      <c r="BO27">
        <v>75.47</v>
      </c>
      <c r="BP27">
        <v>18.87</v>
      </c>
      <c r="BQ27">
        <f t="shared" si="0"/>
        <v>528.29999999999995</v>
      </c>
      <c r="BR27" t="s">
        <v>320</v>
      </c>
    </row>
    <row r="28" spans="1:70">
      <c r="A28" t="s">
        <v>321</v>
      </c>
      <c r="B28" t="s">
        <v>322</v>
      </c>
      <c r="C28" t="s">
        <v>71</v>
      </c>
      <c r="D28" t="s">
        <v>289</v>
      </c>
      <c r="E28" t="s">
        <v>73</v>
      </c>
      <c r="F28" t="s">
        <v>74</v>
      </c>
      <c r="G28">
        <v>240321</v>
      </c>
      <c r="H28" t="s">
        <v>74</v>
      </c>
      <c r="I28" t="s">
        <v>75</v>
      </c>
      <c r="J28" t="s">
        <v>74</v>
      </c>
      <c r="K28" t="s">
        <v>323</v>
      </c>
      <c r="L28" t="s">
        <v>77</v>
      </c>
      <c r="M28" t="s">
        <v>78</v>
      </c>
      <c r="N28" t="s">
        <v>324</v>
      </c>
      <c r="O28" t="s">
        <v>325</v>
      </c>
      <c r="P28" t="s">
        <v>81</v>
      </c>
      <c r="AD28">
        <v>4</v>
      </c>
      <c r="AF28" t="s">
        <v>326</v>
      </c>
      <c r="AG28" t="s">
        <v>296</v>
      </c>
      <c r="AH28" t="s">
        <v>326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0.6</v>
      </c>
      <c r="AT28">
        <v>0</v>
      </c>
      <c r="AU28">
        <v>0</v>
      </c>
      <c r="AV28">
        <v>105.16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279.12</v>
      </c>
      <c r="BE28">
        <v>0</v>
      </c>
      <c r="BF28">
        <v>160</v>
      </c>
      <c r="BG28">
        <v>0</v>
      </c>
      <c r="BH28">
        <v>0</v>
      </c>
      <c r="BI28">
        <v>32</v>
      </c>
      <c r="BJ28">
        <v>0</v>
      </c>
      <c r="BK28">
        <v>0</v>
      </c>
      <c r="BL28">
        <v>0</v>
      </c>
      <c r="BM28">
        <v>0</v>
      </c>
      <c r="BN28">
        <v>576.88</v>
      </c>
      <c r="BO28">
        <v>92.31</v>
      </c>
      <c r="BP28">
        <v>18.86</v>
      </c>
      <c r="BQ28">
        <f t="shared" si="0"/>
        <v>650.33000000000004</v>
      </c>
      <c r="BR28" t="s">
        <v>324</v>
      </c>
    </row>
    <row r="29" spans="1:70">
      <c r="A29" t="s">
        <v>327</v>
      </c>
      <c r="B29" t="s">
        <v>328</v>
      </c>
      <c r="C29" t="s">
        <v>71</v>
      </c>
      <c r="D29" t="s">
        <v>289</v>
      </c>
      <c r="E29" t="s">
        <v>73</v>
      </c>
      <c r="F29" t="s">
        <v>74</v>
      </c>
      <c r="G29">
        <v>240258</v>
      </c>
      <c r="H29" t="s">
        <v>74</v>
      </c>
      <c r="I29" t="s">
        <v>75</v>
      </c>
      <c r="J29" t="s">
        <v>74</v>
      </c>
      <c r="K29" t="s">
        <v>329</v>
      </c>
      <c r="L29" t="s">
        <v>77</v>
      </c>
      <c r="M29" t="s">
        <v>78</v>
      </c>
      <c r="N29" t="s">
        <v>330</v>
      </c>
      <c r="O29" t="s">
        <v>331</v>
      </c>
      <c r="P29" t="s">
        <v>81</v>
      </c>
      <c r="X29">
        <v>5</v>
      </c>
      <c r="AF29" t="s">
        <v>333</v>
      </c>
      <c r="AG29" t="s">
        <v>296</v>
      </c>
      <c r="AH29" t="s">
        <v>333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0.75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230.95</v>
      </c>
      <c r="BE29">
        <v>0</v>
      </c>
      <c r="BF29">
        <v>200</v>
      </c>
      <c r="BG29">
        <v>0</v>
      </c>
      <c r="BH29">
        <v>0</v>
      </c>
      <c r="BI29">
        <v>40</v>
      </c>
      <c r="BJ29">
        <v>0</v>
      </c>
      <c r="BK29">
        <v>0</v>
      </c>
      <c r="BL29">
        <v>0</v>
      </c>
      <c r="BM29">
        <v>0</v>
      </c>
      <c r="BN29">
        <v>471.7</v>
      </c>
      <c r="BO29">
        <v>75.47</v>
      </c>
      <c r="BP29">
        <v>18.87</v>
      </c>
      <c r="BQ29">
        <f t="shared" si="0"/>
        <v>528.29999999999995</v>
      </c>
      <c r="BR29" t="s">
        <v>332</v>
      </c>
    </row>
    <row r="30" spans="1:70">
      <c r="A30" t="s">
        <v>334</v>
      </c>
      <c r="B30" t="s">
        <v>335</v>
      </c>
      <c r="C30" t="s">
        <v>71</v>
      </c>
      <c r="D30" t="s">
        <v>289</v>
      </c>
      <c r="E30" t="s">
        <v>73</v>
      </c>
      <c r="F30" t="s">
        <v>74</v>
      </c>
      <c r="G30">
        <v>240252</v>
      </c>
      <c r="H30" t="s">
        <v>74</v>
      </c>
      <c r="I30" t="s">
        <v>75</v>
      </c>
      <c r="J30" t="s">
        <v>74</v>
      </c>
      <c r="K30" t="s">
        <v>336</v>
      </c>
      <c r="L30" t="s">
        <v>77</v>
      </c>
      <c r="M30" t="s">
        <v>78</v>
      </c>
      <c r="N30" t="s">
        <v>337</v>
      </c>
      <c r="O30" t="s">
        <v>338</v>
      </c>
      <c r="P30" t="s">
        <v>81</v>
      </c>
      <c r="Z30">
        <v>2</v>
      </c>
      <c r="AF30" t="s">
        <v>339</v>
      </c>
      <c r="AG30" t="s">
        <v>296</v>
      </c>
      <c r="AH30" t="s">
        <v>339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0.3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375.4</v>
      </c>
      <c r="BE30">
        <v>0</v>
      </c>
      <c r="BF30">
        <v>80</v>
      </c>
      <c r="BG30">
        <v>0</v>
      </c>
      <c r="BH30">
        <v>0</v>
      </c>
      <c r="BI30">
        <v>16</v>
      </c>
      <c r="BJ30">
        <v>0</v>
      </c>
      <c r="BK30">
        <v>0</v>
      </c>
      <c r="BL30">
        <v>0</v>
      </c>
      <c r="BM30">
        <v>0</v>
      </c>
      <c r="BN30">
        <v>471.7</v>
      </c>
      <c r="BO30">
        <v>75.47</v>
      </c>
      <c r="BP30">
        <v>18.87</v>
      </c>
      <c r="BQ30">
        <f t="shared" si="0"/>
        <v>528.29999999999995</v>
      </c>
      <c r="BR30" t="s">
        <v>337</v>
      </c>
    </row>
    <row r="31" spans="1:70">
      <c r="A31" t="s">
        <v>340</v>
      </c>
      <c r="B31" t="s">
        <v>341</v>
      </c>
      <c r="C31" t="s">
        <v>71</v>
      </c>
      <c r="D31" t="s">
        <v>289</v>
      </c>
      <c r="E31" t="s">
        <v>73</v>
      </c>
      <c r="F31" t="s">
        <v>74</v>
      </c>
      <c r="G31">
        <v>240263</v>
      </c>
      <c r="H31" t="s">
        <v>74</v>
      </c>
      <c r="I31" t="s">
        <v>75</v>
      </c>
      <c r="J31" t="s">
        <v>74</v>
      </c>
      <c r="K31" t="s">
        <v>342</v>
      </c>
      <c r="L31" t="s">
        <v>77</v>
      </c>
      <c r="M31" t="s">
        <v>78</v>
      </c>
      <c r="N31" t="s">
        <v>343</v>
      </c>
      <c r="O31" t="s">
        <v>344</v>
      </c>
      <c r="P31" t="s">
        <v>81</v>
      </c>
      <c r="X31">
        <v>7</v>
      </c>
      <c r="AF31" t="s">
        <v>345</v>
      </c>
      <c r="AG31" t="s">
        <v>296</v>
      </c>
      <c r="AH31" t="s">
        <v>345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1.05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108.15</v>
      </c>
      <c r="BE31">
        <v>0</v>
      </c>
      <c r="BF31">
        <v>280</v>
      </c>
      <c r="BG31">
        <v>0</v>
      </c>
      <c r="BH31">
        <v>0</v>
      </c>
      <c r="BI31">
        <v>56</v>
      </c>
      <c r="BJ31">
        <v>0</v>
      </c>
      <c r="BK31">
        <v>0</v>
      </c>
      <c r="BL31">
        <v>0</v>
      </c>
      <c r="BM31">
        <v>0</v>
      </c>
      <c r="BN31">
        <v>445.2</v>
      </c>
      <c r="BO31">
        <v>71.23</v>
      </c>
      <c r="BP31">
        <v>17.809999999999999</v>
      </c>
      <c r="BQ31">
        <f t="shared" si="0"/>
        <v>498.61999999999995</v>
      </c>
      <c r="BR31" t="s">
        <v>343</v>
      </c>
    </row>
    <row r="32" spans="1:70">
      <c r="A32" t="s">
        <v>346</v>
      </c>
      <c r="B32" t="s">
        <v>347</v>
      </c>
      <c r="C32" t="s">
        <v>71</v>
      </c>
      <c r="D32" t="s">
        <v>289</v>
      </c>
      <c r="E32" t="s">
        <v>73</v>
      </c>
      <c r="F32" t="s">
        <v>74</v>
      </c>
      <c r="G32">
        <v>240259</v>
      </c>
      <c r="H32" t="s">
        <v>74</v>
      </c>
      <c r="I32" t="s">
        <v>75</v>
      </c>
      <c r="J32" t="s">
        <v>74</v>
      </c>
      <c r="K32" t="s">
        <v>348</v>
      </c>
      <c r="L32" t="s">
        <v>77</v>
      </c>
      <c r="M32" t="s">
        <v>78</v>
      </c>
      <c r="N32" t="s">
        <v>349</v>
      </c>
      <c r="O32" t="s">
        <v>350</v>
      </c>
      <c r="P32" t="s">
        <v>81</v>
      </c>
      <c r="AB32">
        <v>3</v>
      </c>
      <c r="AF32" t="s">
        <v>314</v>
      </c>
      <c r="AG32" t="s">
        <v>296</v>
      </c>
      <c r="AH32" t="s">
        <v>314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0.45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327.24</v>
      </c>
      <c r="BE32">
        <v>0</v>
      </c>
      <c r="BF32">
        <v>120</v>
      </c>
      <c r="BG32">
        <v>0</v>
      </c>
      <c r="BH32">
        <v>0</v>
      </c>
      <c r="BI32">
        <v>24</v>
      </c>
      <c r="BJ32">
        <v>0</v>
      </c>
      <c r="BK32">
        <v>0</v>
      </c>
      <c r="BL32">
        <v>0</v>
      </c>
      <c r="BM32">
        <v>0</v>
      </c>
      <c r="BN32">
        <v>471.69</v>
      </c>
      <c r="BO32">
        <v>75.47</v>
      </c>
      <c r="BP32">
        <v>18.87</v>
      </c>
      <c r="BQ32">
        <f t="shared" si="0"/>
        <v>528.29</v>
      </c>
      <c r="BR32" t="s">
        <v>349</v>
      </c>
    </row>
    <row r="33" spans="1:70">
      <c r="A33" t="s">
        <v>351</v>
      </c>
      <c r="B33" t="s">
        <v>352</v>
      </c>
      <c r="C33" t="s">
        <v>71</v>
      </c>
      <c r="D33" t="s">
        <v>289</v>
      </c>
      <c r="E33" t="s">
        <v>73</v>
      </c>
      <c r="F33" t="s">
        <v>74</v>
      </c>
      <c r="G33">
        <v>240264</v>
      </c>
      <c r="H33" t="s">
        <v>74</v>
      </c>
      <c r="I33" t="s">
        <v>75</v>
      </c>
      <c r="J33" t="s">
        <v>74</v>
      </c>
      <c r="K33" t="s">
        <v>353</v>
      </c>
      <c r="L33" t="s">
        <v>77</v>
      </c>
      <c r="M33" t="s">
        <v>78</v>
      </c>
      <c r="N33" t="s">
        <v>229</v>
      </c>
      <c r="O33" t="s">
        <v>354</v>
      </c>
      <c r="P33" t="s">
        <v>81</v>
      </c>
      <c r="AB33">
        <v>3</v>
      </c>
      <c r="AF33" t="s">
        <v>314</v>
      </c>
      <c r="AG33" t="s">
        <v>296</v>
      </c>
      <c r="AH33" t="s">
        <v>314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0.45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327.24</v>
      </c>
      <c r="BE33">
        <v>0</v>
      </c>
      <c r="BF33">
        <v>120</v>
      </c>
      <c r="BG33">
        <v>0</v>
      </c>
      <c r="BH33">
        <v>0</v>
      </c>
      <c r="BI33">
        <v>24</v>
      </c>
      <c r="BJ33">
        <v>0</v>
      </c>
      <c r="BK33">
        <v>0</v>
      </c>
      <c r="BL33">
        <v>0</v>
      </c>
      <c r="BM33">
        <v>0</v>
      </c>
      <c r="BN33">
        <v>471.69</v>
      </c>
      <c r="BO33">
        <v>75.47</v>
      </c>
      <c r="BP33">
        <v>18.87</v>
      </c>
      <c r="BQ33">
        <f t="shared" si="0"/>
        <v>528.29</v>
      </c>
      <c r="BR33" t="s">
        <v>229</v>
      </c>
    </row>
    <row r="34" spans="1:70">
      <c r="A34" t="s">
        <v>355</v>
      </c>
      <c r="B34" t="s">
        <v>356</v>
      </c>
      <c r="C34" t="s">
        <v>71</v>
      </c>
      <c r="D34" t="s">
        <v>289</v>
      </c>
      <c r="E34" t="s">
        <v>73</v>
      </c>
      <c r="F34" t="s">
        <v>74</v>
      </c>
      <c r="G34">
        <v>240261</v>
      </c>
      <c r="H34" t="s">
        <v>74</v>
      </c>
      <c r="I34" t="s">
        <v>75</v>
      </c>
      <c r="J34" t="s">
        <v>74</v>
      </c>
      <c r="K34" t="s">
        <v>357</v>
      </c>
      <c r="L34" t="s">
        <v>77</v>
      </c>
      <c r="M34" t="s">
        <v>78</v>
      </c>
      <c r="N34" t="s">
        <v>358</v>
      </c>
      <c r="O34" t="s">
        <v>359</v>
      </c>
      <c r="P34" t="s">
        <v>81</v>
      </c>
      <c r="AD34">
        <v>4</v>
      </c>
      <c r="AF34" t="s">
        <v>326</v>
      </c>
      <c r="AG34" t="s">
        <v>296</v>
      </c>
      <c r="AH34" t="s">
        <v>326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0.6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279.12</v>
      </c>
      <c r="BE34">
        <v>0</v>
      </c>
      <c r="BF34">
        <v>160</v>
      </c>
      <c r="BG34">
        <v>0</v>
      </c>
      <c r="BH34">
        <v>0</v>
      </c>
      <c r="BI34">
        <v>32</v>
      </c>
      <c r="BJ34">
        <v>0</v>
      </c>
      <c r="BK34">
        <v>0</v>
      </c>
      <c r="BL34">
        <v>0</v>
      </c>
      <c r="BM34">
        <v>0</v>
      </c>
      <c r="BN34">
        <v>471.72</v>
      </c>
      <c r="BO34">
        <v>75.48</v>
      </c>
      <c r="BP34">
        <v>18.86</v>
      </c>
      <c r="BQ34">
        <f t="shared" si="0"/>
        <v>528.34</v>
      </c>
      <c r="BR34" t="s">
        <v>358</v>
      </c>
    </row>
    <row r="35" spans="1:70">
      <c r="A35" t="s">
        <v>360</v>
      </c>
      <c r="B35" t="s">
        <v>361</v>
      </c>
      <c r="C35" t="s">
        <v>71</v>
      </c>
      <c r="D35" t="s">
        <v>289</v>
      </c>
      <c r="E35" t="s">
        <v>73</v>
      </c>
      <c r="F35" t="s">
        <v>74</v>
      </c>
      <c r="G35" t="s">
        <v>362</v>
      </c>
      <c r="H35" t="s">
        <v>363</v>
      </c>
      <c r="I35" t="s">
        <v>75</v>
      </c>
      <c r="J35" t="s">
        <v>74</v>
      </c>
      <c r="K35" t="s">
        <v>364</v>
      </c>
      <c r="L35" t="s">
        <v>77</v>
      </c>
      <c r="M35" t="s">
        <v>78</v>
      </c>
      <c r="N35" t="s">
        <v>365</v>
      </c>
      <c r="O35" t="s">
        <v>366</v>
      </c>
      <c r="P35" t="s">
        <v>96</v>
      </c>
      <c r="V35">
        <v>1</v>
      </c>
      <c r="AF35" t="s">
        <v>295</v>
      </c>
      <c r="AG35" t="s">
        <v>296</v>
      </c>
      <c r="AH35" t="s">
        <v>295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0.15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375.85</v>
      </c>
      <c r="BE35">
        <v>0</v>
      </c>
      <c r="BF35">
        <v>40</v>
      </c>
      <c r="BG35">
        <v>0</v>
      </c>
      <c r="BH35">
        <v>0</v>
      </c>
      <c r="BI35">
        <v>8</v>
      </c>
      <c r="BJ35">
        <v>0</v>
      </c>
      <c r="BK35">
        <v>0</v>
      </c>
      <c r="BL35">
        <v>0</v>
      </c>
      <c r="BM35">
        <v>0</v>
      </c>
      <c r="BN35">
        <v>424</v>
      </c>
      <c r="BO35">
        <v>67.84</v>
      </c>
      <c r="BP35">
        <v>16.96</v>
      </c>
      <c r="BQ35">
        <f t="shared" si="0"/>
        <v>474.88000000000005</v>
      </c>
      <c r="BR35" t="s">
        <v>365</v>
      </c>
    </row>
    <row r="36" spans="1:70">
      <c r="A36" t="s">
        <v>367</v>
      </c>
      <c r="B36" t="s">
        <v>368</v>
      </c>
      <c r="C36" t="s">
        <v>71</v>
      </c>
      <c r="D36" t="s">
        <v>289</v>
      </c>
      <c r="E36" t="s">
        <v>73</v>
      </c>
      <c r="F36" t="s">
        <v>74</v>
      </c>
      <c r="G36">
        <v>240458</v>
      </c>
      <c r="H36" t="s">
        <v>74</v>
      </c>
      <c r="I36" t="s">
        <v>75</v>
      </c>
      <c r="J36" t="s">
        <v>74</v>
      </c>
      <c r="K36" t="s">
        <v>369</v>
      </c>
      <c r="L36" t="s">
        <v>77</v>
      </c>
      <c r="M36" t="s">
        <v>78</v>
      </c>
      <c r="N36" t="s">
        <v>92</v>
      </c>
      <c r="O36" t="s">
        <v>370</v>
      </c>
      <c r="P36" t="s">
        <v>96</v>
      </c>
      <c r="X36">
        <v>10</v>
      </c>
      <c r="AF36" t="s">
        <v>372</v>
      </c>
      <c r="AG36" t="s">
        <v>296</v>
      </c>
      <c r="AH36" t="s">
        <v>372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1.5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154.5</v>
      </c>
      <c r="BE36">
        <v>0</v>
      </c>
      <c r="BF36">
        <v>400</v>
      </c>
      <c r="BG36">
        <v>0</v>
      </c>
      <c r="BH36">
        <v>0</v>
      </c>
      <c r="BI36">
        <v>80</v>
      </c>
      <c r="BJ36">
        <v>0</v>
      </c>
      <c r="BK36">
        <v>0</v>
      </c>
      <c r="BL36">
        <v>0</v>
      </c>
      <c r="BM36">
        <v>0</v>
      </c>
      <c r="BN36">
        <v>636</v>
      </c>
      <c r="BO36">
        <v>101.76</v>
      </c>
      <c r="BP36">
        <v>25.44</v>
      </c>
      <c r="BQ36">
        <f t="shared" si="0"/>
        <v>712.31999999999994</v>
      </c>
      <c r="BR36" t="s">
        <v>371</v>
      </c>
    </row>
    <row r="37" spans="1:70">
      <c r="A37" t="s">
        <v>373</v>
      </c>
      <c r="B37" t="s">
        <v>374</v>
      </c>
      <c r="C37" t="s">
        <v>71</v>
      </c>
      <c r="D37" t="s">
        <v>289</v>
      </c>
      <c r="E37" t="s">
        <v>73</v>
      </c>
      <c r="F37" t="s">
        <v>74</v>
      </c>
      <c r="G37">
        <v>240452</v>
      </c>
      <c r="H37" t="s">
        <v>74</v>
      </c>
      <c r="I37" t="s">
        <v>75</v>
      </c>
      <c r="J37" t="s">
        <v>74</v>
      </c>
      <c r="K37" t="s">
        <v>375</v>
      </c>
      <c r="L37" t="s">
        <v>77</v>
      </c>
      <c r="M37" t="s">
        <v>78</v>
      </c>
      <c r="N37" t="s">
        <v>376</v>
      </c>
      <c r="O37" t="s">
        <v>377</v>
      </c>
      <c r="P37" t="s">
        <v>96</v>
      </c>
      <c r="X37">
        <v>12</v>
      </c>
      <c r="AF37" t="s">
        <v>379</v>
      </c>
      <c r="AG37" t="s">
        <v>296</v>
      </c>
      <c r="AH37" t="s">
        <v>379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1.8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554.28</v>
      </c>
      <c r="BE37">
        <v>0</v>
      </c>
      <c r="BF37">
        <v>480</v>
      </c>
      <c r="BG37">
        <v>0</v>
      </c>
      <c r="BH37">
        <v>0</v>
      </c>
      <c r="BI37">
        <v>96</v>
      </c>
      <c r="BJ37">
        <v>0</v>
      </c>
      <c r="BK37">
        <v>0</v>
      </c>
      <c r="BL37">
        <v>0</v>
      </c>
      <c r="BM37">
        <v>0</v>
      </c>
      <c r="BN37">
        <v>1132.08</v>
      </c>
      <c r="BO37">
        <v>181.13</v>
      </c>
      <c r="BP37">
        <v>45.28</v>
      </c>
      <c r="BQ37">
        <f t="shared" si="0"/>
        <v>1267.93</v>
      </c>
      <c r="BR37" t="s">
        <v>378</v>
      </c>
    </row>
    <row r="38" spans="1:70">
      <c r="A38" t="s">
        <v>380</v>
      </c>
      <c r="B38" t="s">
        <v>381</v>
      </c>
      <c r="C38" t="s">
        <v>71</v>
      </c>
      <c r="D38" t="s">
        <v>289</v>
      </c>
      <c r="E38" t="s">
        <v>73</v>
      </c>
      <c r="F38" t="s">
        <v>74</v>
      </c>
      <c r="G38">
        <v>240451</v>
      </c>
      <c r="H38" t="s">
        <v>74</v>
      </c>
      <c r="I38" t="s">
        <v>75</v>
      </c>
      <c r="J38" t="s">
        <v>74</v>
      </c>
      <c r="K38" t="s">
        <v>382</v>
      </c>
      <c r="L38" t="s">
        <v>77</v>
      </c>
      <c r="M38" t="s">
        <v>78</v>
      </c>
      <c r="N38" t="s">
        <v>203</v>
      </c>
      <c r="O38" t="s">
        <v>383</v>
      </c>
      <c r="P38" t="s">
        <v>96</v>
      </c>
      <c r="X38">
        <v>20</v>
      </c>
      <c r="AF38" t="s">
        <v>384</v>
      </c>
      <c r="AG38" t="s">
        <v>296</v>
      </c>
      <c r="AH38" t="s">
        <v>384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3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923.8</v>
      </c>
      <c r="BE38">
        <v>0</v>
      </c>
      <c r="BF38">
        <v>800</v>
      </c>
      <c r="BG38">
        <v>0</v>
      </c>
      <c r="BH38">
        <v>0</v>
      </c>
      <c r="BI38">
        <v>160</v>
      </c>
      <c r="BJ38">
        <v>0</v>
      </c>
      <c r="BK38">
        <v>0</v>
      </c>
      <c r="BL38">
        <v>0</v>
      </c>
      <c r="BM38">
        <v>0</v>
      </c>
      <c r="BN38">
        <v>1886.8</v>
      </c>
      <c r="BO38">
        <v>301.89</v>
      </c>
      <c r="BP38">
        <v>75.47</v>
      </c>
      <c r="BQ38">
        <f t="shared" si="0"/>
        <v>2113.2200000000003</v>
      </c>
      <c r="BR38" t="s">
        <v>203</v>
      </c>
    </row>
    <row r="39" spans="1:70">
      <c r="A39" t="s">
        <v>385</v>
      </c>
      <c r="B39" t="s">
        <v>386</v>
      </c>
      <c r="C39" t="s">
        <v>71</v>
      </c>
      <c r="D39" t="s">
        <v>289</v>
      </c>
      <c r="E39" t="s">
        <v>73</v>
      </c>
      <c r="F39" t="s">
        <v>74</v>
      </c>
      <c r="G39" t="s">
        <v>387</v>
      </c>
      <c r="H39" t="s">
        <v>74</v>
      </c>
      <c r="I39" t="s">
        <v>75</v>
      </c>
      <c r="J39" t="s">
        <v>74</v>
      </c>
      <c r="K39" t="s">
        <v>388</v>
      </c>
      <c r="L39" t="s">
        <v>77</v>
      </c>
      <c r="M39" t="s">
        <v>78</v>
      </c>
      <c r="N39" t="s">
        <v>191</v>
      </c>
      <c r="O39" t="s">
        <v>389</v>
      </c>
      <c r="P39" t="s">
        <v>96</v>
      </c>
      <c r="AD39">
        <v>4</v>
      </c>
      <c r="AF39" t="s">
        <v>326</v>
      </c>
      <c r="AG39" t="s">
        <v>296</v>
      </c>
      <c r="AH39" t="s">
        <v>326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0.6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279.12</v>
      </c>
      <c r="BE39">
        <v>0</v>
      </c>
      <c r="BF39">
        <v>160</v>
      </c>
      <c r="BG39">
        <v>0</v>
      </c>
      <c r="BH39">
        <v>0</v>
      </c>
      <c r="BI39">
        <v>32</v>
      </c>
      <c r="BJ39">
        <v>0</v>
      </c>
      <c r="BK39">
        <v>0</v>
      </c>
      <c r="BL39">
        <v>0</v>
      </c>
      <c r="BM39">
        <v>0</v>
      </c>
      <c r="BN39">
        <v>471.72</v>
      </c>
      <c r="BO39">
        <v>75.48</v>
      </c>
      <c r="BP39">
        <v>18.86</v>
      </c>
      <c r="BQ39">
        <f t="shared" si="0"/>
        <v>528.34</v>
      </c>
      <c r="BR39" t="s">
        <v>195</v>
      </c>
    </row>
    <row r="40" spans="1:70">
      <c r="A40" t="s">
        <v>390</v>
      </c>
      <c r="B40" t="s">
        <v>391</v>
      </c>
      <c r="C40" t="s">
        <v>71</v>
      </c>
      <c r="D40" t="s">
        <v>289</v>
      </c>
      <c r="E40" t="s">
        <v>73</v>
      </c>
      <c r="F40" t="s">
        <v>74</v>
      </c>
      <c r="G40">
        <v>240443</v>
      </c>
      <c r="H40" t="s">
        <v>74</v>
      </c>
      <c r="I40" t="s">
        <v>75</v>
      </c>
      <c r="J40" t="s">
        <v>74</v>
      </c>
      <c r="K40" t="s">
        <v>392</v>
      </c>
      <c r="L40" t="s">
        <v>77</v>
      </c>
      <c r="M40" t="s">
        <v>78</v>
      </c>
      <c r="N40" t="s">
        <v>393</v>
      </c>
      <c r="O40" t="s">
        <v>394</v>
      </c>
      <c r="P40" t="s">
        <v>96</v>
      </c>
      <c r="X40">
        <v>18</v>
      </c>
      <c r="AF40" t="s">
        <v>395</v>
      </c>
      <c r="AG40" t="s">
        <v>296</v>
      </c>
      <c r="AH40" t="s">
        <v>395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2.7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831.42</v>
      </c>
      <c r="BE40">
        <v>0</v>
      </c>
      <c r="BF40">
        <v>720</v>
      </c>
      <c r="BG40">
        <v>0</v>
      </c>
      <c r="BH40">
        <v>0</v>
      </c>
      <c r="BI40">
        <v>144</v>
      </c>
      <c r="BJ40">
        <v>0</v>
      </c>
      <c r="BK40">
        <v>0</v>
      </c>
      <c r="BL40">
        <v>0</v>
      </c>
      <c r="BM40">
        <v>0</v>
      </c>
      <c r="BN40">
        <v>1698.12</v>
      </c>
      <c r="BO40">
        <v>271.7</v>
      </c>
      <c r="BP40">
        <v>67.930000000000007</v>
      </c>
      <c r="BQ40">
        <f t="shared" si="0"/>
        <v>1901.8899999999999</v>
      </c>
      <c r="BR40" t="s">
        <v>393</v>
      </c>
    </row>
    <row r="41" spans="1:70">
      <c r="A41" t="s">
        <v>396</v>
      </c>
      <c r="B41" t="s">
        <v>397</v>
      </c>
      <c r="C41" t="s">
        <v>71</v>
      </c>
      <c r="D41" t="s">
        <v>289</v>
      </c>
      <c r="E41" t="s">
        <v>73</v>
      </c>
      <c r="F41" t="s">
        <v>74</v>
      </c>
      <c r="G41">
        <v>240439</v>
      </c>
      <c r="H41" t="s">
        <v>74</v>
      </c>
      <c r="I41" t="s">
        <v>75</v>
      </c>
      <c r="J41" t="s">
        <v>74</v>
      </c>
      <c r="K41" t="s">
        <v>398</v>
      </c>
      <c r="L41" t="s">
        <v>77</v>
      </c>
      <c r="M41" t="s">
        <v>78</v>
      </c>
      <c r="N41" t="s">
        <v>337</v>
      </c>
      <c r="O41" t="s">
        <v>399</v>
      </c>
      <c r="P41" t="s">
        <v>96</v>
      </c>
      <c r="X41">
        <v>6</v>
      </c>
      <c r="AF41" t="s">
        <v>400</v>
      </c>
      <c r="AG41" t="s">
        <v>296</v>
      </c>
      <c r="AH41" t="s">
        <v>400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0.9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277.14</v>
      </c>
      <c r="BE41">
        <v>0</v>
      </c>
      <c r="BF41">
        <v>240</v>
      </c>
      <c r="BG41">
        <v>0</v>
      </c>
      <c r="BH41">
        <v>0</v>
      </c>
      <c r="BI41">
        <v>48</v>
      </c>
      <c r="BJ41">
        <v>0</v>
      </c>
      <c r="BK41">
        <v>0</v>
      </c>
      <c r="BL41">
        <v>0</v>
      </c>
      <c r="BM41">
        <v>0</v>
      </c>
      <c r="BN41">
        <v>566.04</v>
      </c>
      <c r="BO41">
        <v>90.56</v>
      </c>
      <c r="BP41">
        <v>22.65</v>
      </c>
      <c r="BQ41">
        <f t="shared" si="0"/>
        <v>633.94999999999993</v>
      </c>
      <c r="BR41" t="s">
        <v>337</v>
      </c>
    </row>
    <row r="42" spans="1:70">
      <c r="A42" t="s">
        <v>401</v>
      </c>
      <c r="B42" t="s">
        <v>402</v>
      </c>
      <c r="C42" t="s">
        <v>71</v>
      </c>
      <c r="D42" t="s">
        <v>289</v>
      </c>
      <c r="E42" t="s">
        <v>73</v>
      </c>
      <c r="F42" t="s">
        <v>74</v>
      </c>
      <c r="G42">
        <v>240467</v>
      </c>
      <c r="H42" t="s">
        <v>74</v>
      </c>
      <c r="I42" t="s">
        <v>75</v>
      </c>
      <c r="J42" t="s">
        <v>74</v>
      </c>
      <c r="K42" t="s">
        <v>403</v>
      </c>
      <c r="L42" t="s">
        <v>77</v>
      </c>
      <c r="M42" t="s">
        <v>78</v>
      </c>
      <c r="N42" t="s">
        <v>404</v>
      </c>
      <c r="O42" t="s">
        <v>405</v>
      </c>
      <c r="P42" t="s">
        <v>96</v>
      </c>
      <c r="X42">
        <v>9</v>
      </c>
      <c r="AF42" t="s">
        <v>407</v>
      </c>
      <c r="AG42" t="s">
        <v>296</v>
      </c>
      <c r="AH42" t="s">
        <v>407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1.35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139.05000000000001</v>
      </c>
      <c r="BE42">
        <v>0</v>
      </c>
      <c r="BF42">
        <v>360</v>
      </c>
      <c r="BG42">
        <v>0</v>
      </c>
      <c r="BH42">
        <v>0</v>
      </c>
      <c r="BI42">
        <v>72</v>
      </c>
      <c r="BJ42">
        <v>0</v>
      </c>
      <c r="BK42">
        <v>0</v>
      </c>
      <c r="BL42">
        <v>0</v>
      </c>
      <c r="BM42">
        <v>0</v>
      </c>
      <c r="BN42">
        <v>572.4</v>
      </c>
      <c r="BO42">
        <v>91.59</v>
      </c>
      <c r="BP42">
        <v>22.89</v>
      </c>
      <c r="BQ42">
        <f t="shared" si="0"/>
        <v>641.1</v>
      </c>
      <c r="BR42" t="s">
        <v>406</v>
      </c>
    </row>
    <row r="43" spans="1:70">
      <c r="A43" t="s">
        <v>408</v>
      </c>
      <c r="B43" t="s">
        <v>409</v>
      </c>
      <c r="C43" t="s">
        <v>71</v>
      </c>
      <c r="D43" t="s">
        <v>289</v>
      </c>
      <c r="E43" t="s">
        <v>73</v>
      </c>
      <c r="F43" t="s">
        <v>74</v>
      </c>
      <c r="G43">
        <v>240453</v>
      </c>
      <c r="H43" t="s">
        <v>74</v>
      </c>
      <c r="I43" t="s">
        <v>75</v>
      </c>
      <c r="J43" t="s">
        <v>74</v>
      </c>
      <c r="K43" t="s">
        <v>410</v>
      </c>
      <c r="L43" t="s">
        <v>77</v>
      </c>
      <c r="M43" t="s">
        <v>78</v>
      </c>
      <c r="N43" t="s">
        <v>411</v>
      </c>
      <c r="O43" t="s">
        <v>412</v>
      </c>
      <c r="P43" t="s">
        <v>96</v>
      </c>
      <c r="X43">
        <v>14</v>
      </c>
      <c r="AF43" t="s">
        <v>413</v>
      </c>
      <c r="AG43" t="s">
        <v>296</v>
      </c>
      <c r="AH43" t="s">
        <v>413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2.1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646.66</v>
      </c>
      <c r="BE43">
        <v>0</v>
      </c>
      <c r="BF43">
        <v>560</v>
      </c>
      <c r="BG43">
        <v>0</v>
      </c>
      <c r="BH43">
        <v>0</v>
      </c>
      <c r="BI43">
        <v>112</v>
      </c>
      <c r="BJ43">
        <v>0</v>
      </c>
      <c r="BK43">
        <v>0</v>
      </c>
      <c r="BL43">
        <v>0</v>
      </c>
      <c r="BM43">
        <v>0</v>
      </c>
      <c r="BN43">
        <v>1320.76</v>
      </c>
      <c r="BO43">
        <v>211.33</v>
      </c>
      <c r="BP43">
        <v>52.83</v>
      </c>
      <c r="BQ43">
        <f t="shared" si="0"/>
        <v>1479.26</v>
      </c>
      <c r="BR43" t="s">
        <v>411</v>
      </c>
    </row>
    <row r="44" spans="1:70">
      <c r="A44" t="s">
        <v>414</v>
      </c>
      <c r="B44" t="s">
        <v>415</v>
      </c>
      <c r="C44" t="s">
        <v>71</v>
      </c>
      <c r="D44" t="s">
        <v>289</v>
      </c>
      <c r="E44" t="s">
        <v>73</v>
      </c>
      <c r="F44" t="s">
        <v>74</v>
      </c>
      <c r="G44">
        <v>240361</v>
      </c>
      <c r="H44" t="s">
        <v>74</v>
      </c>
      <c r="I44" t="s">
        <v>75</v>
      </c>
      <c r="J44" t="s">
        <v>74</v>
      </c>
      <c r="K44" t="s">
        <v>416</v>
      </c>
      <c r="L44" t="s">
        <v>77</v>
      </c>
      <c r="M44" t="s">
        <v>78</v>
      </c>
      <c r="N44" t="s">
        <v>404</v>
      </c>
      <c r="O44" t="s">
        <v>417</v>
      </c>
      <c r="P44" t="s">
        <v>96</v>
      </c>
      <c r="X44">
        <v>14</v>
      </c>
      <c r="AF44" t="s">
        <v>413</v>
      </c>
      <c r="AG44" t="s">
        <v>296</v>
      </c>
      <c r="AH44" t="s">
        <v>413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2.1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216.3</v>
      </c>
      <c r="BE44">
        <v>0</v>
      </c>
      <c r="BF44">
        <v>560</v>
      </c>
      <c r="BG44">
        <v>0</v>
      </c>
      <c r="BH44">
        <v>0</v>
      </c>
      <c r="BI44">
        <v>112</v>
      </c>
      <c r="BJ44">
        <v>0</v>
      </c>
      <c r="BK44">
        <v>0</v>
      </c>
      <c r="BL44">
        <v>0</v>
      </c>
      <c r="BM44">
        <v>0</v>
      </c>
      <c r="BN44">
        <v>890.4</v>
      </c>
      <c r="BO44">
        <v>142.47</v>
      </c>
      <c r="BP44">
        <v>35.61</v>
      </c>
      <c r="BQ44">
        <f t="shared" si="0"/>
        <v>997.25999999999988</v>
      </c>
      <c r="BR44" t="s">
        <v>406</v>
      </c>
    </row>
    <row r="45" spans="1:70">
      <c r="A45" t="s">
        <v>418</v>
      </c>
      <c r="B45" t="s">
        <v>419</v>
      </c>
      <c r="C45" t="s">
        <v>71</v>
      </c>
      <c r="D45" t="s">
        <v>289</v>
      </c>
      <c r="E45" t="s">
        <v>73</v>
      </c>
      <c r="F45" t="s">
        <v>74</v>
      </c>
      <c r="G45">
        <v>240358</v>
      </c>
      <c r="H45" t="s">
        <v>74</v>
      </c>
      <c r="I45" t="s">
        <v>75</v>
      </c>
      <c r="J45" t="s">
        <v>74</v>
      </c>
      <c r="K45" t="s">
        <v>420</v>
      </c>
      <c r="L45" t="s">
        <v>77</v>
      </c>
      <c r="M45" t="s">
        <v>78</v>
      </c>
      <c r="N45" t="s">
        <v>421</v>
      </c>
      <c r="O45" t="s">
        <v>422</v>
      </c>
      <c r="P45" t="s">
        <v>96</v>
      </c>
      <c r="X45">
        <v>12</v>
      </c>
      <c r="AF45" t="s">
        <v>379</v>
      </c>
      <c r="AG45" t="s">
        <v>296</v>
      </c>
      <c r="AH45" t="s">
        <v>379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1.8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554.28</v>
      </c>
      <c r="BE45">
        <v>0</v>
      </c>
      <c r="BF45">
        <v>480</v>
      </c>
      <c r="BG45">
        <v>0</v>
      </c>
      <c r="BH45">
        <v>0</v>
      </c>
      <c r="BI45">
        <v>96</v>
      </c>
      <c r="BJ45">
        <v>0</v>
      </c>
      <c r="BK45">
        <v>0</v>
      </c>
      <c r="BL45">
        <v>0</v>
      </c>
      <c r="BM45">
        <v>0</v>
      </c>
      <c r="BN45">
        <v>1132.08</v>
      </c>
      <c r="BO45">
        <v>181.13</v>
      </c>
      <c r="BP45">
        <v>45.28</v>
      </c>
      <c r="BQ45">
        <f t="shared" si="0"/>
        <v>1267.93</v>
      </c>
      <c r="BR45" t="s">
        <v>423</v>
      </c>
    </row>
    <row r="46" spans="1:70">
      <c r="A46" t="s">
        <v>424</v>
      </c>
      <c r="B46" t="s">
        <v>425</v>
      </c>
      <c r="C46" t="s">
        <v>71</v>
      </c>
      <c r="D46" t="s">
        <v>289</v>
      </c>
      <c r="E46" t="s">
        <v>73</v>
      </c>
      <c r="F46" t="s">
        <v>74</v>
      </c>
      <c r="G46">
        <v>240357</v>
      </c>
      <c r="H46" t="s">
        <v>74</v>
      </c>
      <c r="I46" t="s">
        <v>75</v>
      </c>
      <c r="J46" t="s">
        <v>74</v>
      </c>
      <c r="K46" t="s">
        <v>426</v>
      </c>
      <c r="L46" t="s">
        <v>77</v>
      </c>
      <c r="M46" t="s">
        <v>78</v>
      </c>
      <c r="N46" t="s">
        <v>343</v>
      </c>
      <c r="O46" t="s">
        <v>427</v>
      </c>
      <c r="P46" t="s">
        <v>96</v>
      </c>
      <c r="X46">
        <v>23</v>
      </c>
      <c r="AF46" t="s">
        <v>428</v>
      </c>
      <c r="AG46" t="s">
        <v>296</v>
      </c>
      <c r="AH46" t="s">
        <v>428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3.45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355.35</v>
      </c>
      <c r="BE46">
        <v>0</v>
      </c>
      <c r="BF46">
        <v>920</v>
      </c>
      <c r="BG46">
        <v>0</v>
      </c>
      <c r="BH46">
        <v>0</v>
      </c>
      <c r="BI46">
        <v>184</v>
      </c>
      <c r="BJ46">
        <v>0</v>
      </c>
      <c r="BK46">
        <v>0</v>
      </c>
      <c r="BL46">
        <v>0</v>
      </c>
      <c r="BM46">
        <v>0</v>
      </c>
      <c r="BN46">
        <v>1462.8</v>
      </c>
      <c r="BO46">
        <v>234.05</v>
      </c>
      <c r="BP46">
        <v>58.51</v>
      </c>
      <c r="BQ46">
        <f t="shared" si="0"/>
        <v>1638.34</v>
      </c>
      <c r="BR46" t="s">
        <v>343</v>
      </c>
    </row>
    <row r="47" spans="1:70">
      <c r="A47" t="s">
        <v>429</v>
      </c>
      <c r="B47" t="s">
        <v>430</v>
      </c>
      <c r="C47" t="s">
        <v>71</v>
      </c>
      <c r="D47" t="s">
        <v>289</v>
      </c>
      <c r="E47" t="s">
        <v>73</v>
      </c>
      <c r="F47" t="s">
        <v>74</v>
      </c>
      <c r="G47">
        <v>240356</v>
      </c>
      <c r="I47" t="s">
        <v>75</v>
      </c>
      <c r="K47" t="s">
        <v>431</v>
      </c>
      <c r="L47" t="s">
        <v>77</v>
      </c>
      <c r="M47" t="s">
        <v>78</v>
      </c>
      <c r="N47" t="s">
        <v>432</v>
      </c>
      <c r="O47" t="s">
        <v>433</v>
      </c>
      <c r="P47" t="s">
        <v>96</v>
      </c>
      <c r="X47">
        <v>13</v>
      </c>
      <c r="AF47" t="s">
        <v>434</v>
      </c>
      <c r="AG47" t="s">
        <v>296</v>
      </c>
      <c r="AH47" t="s">
        <v>434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1.95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600.47</v>
      </c>
      <c r="BE47">
        <v>0</v>
      </c>
      <c r="BF47">
        <v>520</v>
      </c>
      <c r="BG47">
        <v>0</v>
      </c>
      <c r="BH47">
        <v>0</v>
      </c>
      <c r="BI47">
        <v>104</v>
      </c>
      <c r="BJ47">
        <v>0</v>
      </c>
      <c r="BK47">
        <v>0</v>
      </c>
      <c r="BL47">
        <v>0</v>
      </c>
      <c r="BM47">
        <v>0</v>
      </c>
      <c r="BN47">
        <v>1226.42</v>
      </c>
      <c r="BO47">
        <v>196.23</v>
      </c>
      <c r="BP47">
        <v>49.06</v>
      </c>
      <c r="BQ47">
        <f t="shared" si="0"/>
        <v>1373.5900000000001</v>
      </c>
      <c r="BR47" t="s">
        <v>432</v>
      </c>
    </row>
    <row r="48" spans="1:70">
      <c r="A48" t="s">
        <v>435</v>
      </c>
      <c r="B48" t="s">
        <v>436</v>
      </c>
      <c r="C48" t="s">
        <v>71</v>
      </c>
      <c r="D48" t="s">
        <v>289</v>
      </c>
      <c r="E48" t="s">
        <v>73</v>
      </c>
      <c r="F48" t="s">
        <v>74</v>
      </c>
      <c r="G48">
        <v>240355</v>
      </c>
      <c r="H48" t="s">
        <v>74</v>
      </c>
      <c r="I48" t="s">
        <v>75</v>
      </c>
      <c r="J48" t="s">
        <v>74</v>
      </c>
      <c r="K48" t="s">
        <v>437</v>
      </c>
      <c r="L48" t="s">
        <v>77</v>
      </c>
      <c r="M48" t="s">
        <v>78</v>
      </c>
      <c r="N48" t="s">
        <v>438</v>
      </c>
      <c r="O48" t="s">
        <v>439</v>
      </c>
      <c r="P48" t="s">
        <v>96</v>
      </c>
      <c r="X48">
        <v>12</v>
      </c>
      <c r="AF48" t="s">
        <v>379</v>
      </c>
      <c r="AG48" t="s">
        <v>296</v>
      </c>
      <c r="AH48" t="s">
        <v>379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1.8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185.4</v>
      </c>
      <c r="BE48">
        <v>0</v>
      </c>
      <c r="BF48">
        <v>480</v>
      </c>
      <c r="BG48">
        <v>0</v>
      </c>
      <c r="BH48">
        <v>0</v>
      </c>
      <c r="BI48">
        <v>96</v>
      </c>
      <c r="BJ48">
        <v>0</v>
      </c>
      <c r="BK48">
        <v>0</v>
      </c>
      <c r="BL48">
        <v>0</v>
      </c>
      <c r="BM48">
        <v>0</v>
      </c>
      <c r="BN48">
        <v>763.2</v>
      </c>
      <c r="BO48">
        <v>122.11</v>
      </c>
      <c r="BP48">
        <v>30.53</v>
      </c>
      <c r="BQ48">
        <f t="shared" si="0"/>
        <v>854.78000000000009</v>
      </c>
      <c r="BR48" t="s">
        <v>440</v>
      </c>
    </row>
    <row r="49" spans="1:70">
      <c r="A49" t="s">
        <v>441</v>
      </c>
      <c r="B49" t="s">
        <v>442</v>
      </c>
      <c r="C49" t="s">
        <v>71</v>
      </c>
      <c r="D49" t="s">
        <v>289</v>
      </c>
      <c r="E49" t="s">
        <v>73</v>
      </c>
      <c r="F49" t="s">
        <v>74</v>
      </c>
      <c r="G49">
        <v>240461</v>
      </c>
      <c r="H49" t="s">
        <v>74</v>
      </c>
      <c r="I49" t="s">
        <v>75</v>
      </c>
      <c r="K49" t="s">
        <v>443</v>
      </c>
      <c r="L49" t="s">
        <v>77</v>
      </c>
      <c r="M49" t="s">
        <v>78</v>
      </c>
      <c r="N49" t="s">
        <v>106</v>
      </c>
      <c r="O49" t="s">
        <v>444</v>
      </c>
      <c r="P49" t="s">
        <v>96</v>
      </c>
      <c r="X49">
        <v>22</v>
      </c>
      <c r="AF49" t="s">
        <v>445</v>
      </c>
      <c r="AG49" t="s">
        <v>296</v>
      </c>
      <c r="AH49" t="s">
        <v>445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3.3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1016.18</v>
      </c>
      <c r="BE49">
        <v>0</v>
      </c>
      <c r="BF49">
        <v>880</v>
      </c>
      <c r="BG49">
        <v>0</v>
      </c>
      <c r="BH49">
        <v>0</v>
      </c>
      <c r="BI49">
        <v>176</v>
      </c>
      <c r="BJ49">
        <v>0</v>
      </c>
      <c r="BK49">
        <v>0</v>
      </c>
      <c r="BL49">
        <v>0</v>
      </c>
      <c r="BM49">
        <v>0</v>
      </c>
      <c r="BN49">
        <v>2075.48</v>
      </c>
      <c r="BO49">
        <v>332.08</v>
      </c>
      <c r="BP49">
        <v>83.02</v>
      </c>
      <c r="BQ49">
        <f t="shared" si="0"/>
        <v>2324.54</v>
      </c>
      <c r="BR49" t="s">
        <v>106</v>
      </c>
    </row>
    <row r="50" spans="1:70">
      <c r="A50" t="s">
        <v>446</v>
      </c>
      <c r="B50" t="s">
        <v>447</v>
      </c>
      <c r="C50" t="s">
        <v>71</v>
      </c>
      <c r="D50" t="s">
        <v>289</v>
      </c>
      <c r="E50" t="s">
        <v>73</v>
      </c>
      <c r="F50" t="s">
        <v>74</v>
      </c>
      <c r="G50">
        <v>240460</v>
      </c>
      <c r="H50" t="s">
        <v>74</v>
      </c>
      <c r="I50" t="s">
        <v>75</v>
      </c>
      <c r="J50" t="s">
        <v>74</v>
      </c>
      <c r="K50" t="s">
        <v>448</v>
      </c>
      <c r="L50" t="s">
        <v>77</v>
      </c>
      <c r="M50" t="s">
        <v>78</v>
      </c>
      <c r="N50" t="s">
        <v>92</v>
      </c>
      <c r="O50" t="s">
        <v>449</v>
      </c>
      <c r="P50" t="s">
        <v>96</v>
      </c>
      <c r="X50">
        <v>12</v>
      </c>
      <c r="AF50" t="s">
        <v>379</v>
      </c>
      <c r="AG50" t="s">
        <v>296</v>
      </c>
      <c r="AH50" t="s">
        <v>379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1.8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185.4</v>
      </c>
      <c r="BE50">
        <v>0</v>
      </c>
      <c r="BF50">
        <v>480</v>
      </c>
      <c r="BG50">
        <v>0</v>
      </c>
      <c r="BH50">
        <v>0</v>
      </c>
      <c r="BI50">
        <v>96</v>
      </c>
      <c r="BJ50">
        <v>0</v>
      </c>
      <c r="BK50">
        <v>0</v>
      </c>
      <c r="BL50">
        <v>0</v>
      </c>
      <c r="BM50">
        <v>0</v>
      </c>
      <c r="BN50">
        <v>763.2</v>
      </c>
      <c r="BO50">
        <v>122.11</v>
      </c>
      <c r="BP50">
        <v>30.53</v>
      </c>
      <c r="BQ50">
        <f t="shared" si="0"/>
        <v>854.78000000000009</v>
      </c>
      <c r="BR50" t="s">
        <v>371</v>
      </c>
    </row>
    <row r="51" spans="1:70">
      <c r="A51" t="s">
        <v>450</v>
      </c>
      <c r="B51" t="s">
        <v>451</v>
      </c>
      <c r="C51" t="s">
        <v>71</v>
      </c>
      <c r="D51" t="s">
        <v>289</v>
      </c>
      <c r="E51" t="s">
        <v>73</v>
      </c>
      <c r="F51" t="s">
        <v>74</v>
      </c>
      <c r="G51">
        <v>240376</v>
      </c>
      <c r="H51" t="s">
        <v>74</v>
      </c>
      <c r="I51" t="s">
        <v>75</v>
      </c>
      <c r="J51" t="s">
        <v>74</v>
      </c>
      <c r="K51" t="s">
        <v>452</v>
      </c>
      <c r="L51" t="s">
        <v>77</v>
      </c>
      <c r="M51" t="s">
        <v>78</v>
      </c>
      <c r="N51" t="s">
        <v>349</v>
      </c>
      <c r="O51" t="s">
        <v>453</v>
      </c>
      <c r="P51" t="s">
        <v>96</v>
      </c>
      <c r="AB51">
        <v>3</v>
      </c>
      <c r="AF51" t="s">
        <v>314</v>
      </c>
      <c r="AG51" t="s">
        <v>296</v>
      </c>
      <c r="AH51" t="s">
        <v>314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0.45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327.24</v>
      </c>
      <c r="BE51">
        <v>0</v>
      </c>
      <c r="BF51">
        <v>120</v>
      </c>
      <c r="BG51">
        <v>0</v>
      </c>
      <c r="BH51">
        <v>0</v>
      </c>
      <c r="BI51">
        <v>24</v>
      </c>
      <c r="BJ51">
        <v>0</v>
      </c>
      <c r="BK51">
        <v>0</v>
      </c>
      <c r="BL51">
        <v>0</v>
      </c>
      <c r="BM51">
        <v>0</v>
      </c>
      <c r="BN51">
        <v>471.69</v>
      </c>
      <c r="BO51">
        <v>75.47</v>
      </c>
      <c r="BP51">
        <v>18.87</v>
      </c>
      <c r="BQ51">
        <f t="shared" si="0"/>
        <v>528.29</v>
      </c>
      <c r="BR51" t="s">
        <v>349</v>
      </c>
    </row>
    <row r="52" spans="1:70">
      <c r="A52" t="s">
        <v>454</v>
      </c>
      <c r="B52" t="s">
        <v>455</v>
      </c>
      <c r="C52" t="s">
        <v>71</v>
      </c>
      <c r="D52" t="s">
        <v>289</v>
      </c>
      <c r="E52" t="s">
        <v>73</v>
      </c>
      <c r="F52" t="s">
        <v>74</v>
      </c>
      <c r="G52">
        <v>240375</v>
      </c>
      <c r="H52" t="s">
        <v>74</v>
      </c>
      <c r="I52" t="s">
        <v>75</v>
      </c>
      <c r="J52" t="s">
        <v>74</v>
      </c>
      <c r="K52" t="s">
        <v>456</v>
      </c>
      <c r="L52" t="s">
        <v>77</v>
      </c>
      <c r="M52" t="s">
        <v>78</v>
      </c>
      <c r="N52" t="s">
        <v>404</v>
      </c>
      <c r="O52" t="s">
        <v>457</v>
      </c>
      <c r="P52" t="s">
        <v>96</v>
      </c>
      <c r="V52">
        <v>1</v>
      </c>
      <c r="AF52" t="s">
        <v>295</v>
      </c>
      <c r="AG52" t="s">
        <v>296</v>
      </c>
      <c r="AH52" t="s">
        <v>295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0.15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375.85</v>
      </c>
      <c r="BE52">
        <v>0</v>
      </c>
      <c r="BF52">
        <v>40</v>
      </c>
      <c r="BG52">
        <v>0</v>
      </c>
      <c r="BH52">
        <v>0</v>
      </c>
      <c r="BI52">
        <v>8</v>
      </c>
      <c r="BJ52">
        <v>0</v>
      </c>
      <c r="BK52">
        <v>0</v>
      </c>
      <c r="BL52">
        <v>0</v>
      </c>
      <c r="BM52">
        <v>0</v>
      </c>
      <c r="BN52">
        <v>424</v>
      </c>
      <c r="BO52">
        <v>67.84</v>
      </c>
      <c r="BP52">
        <v>16.96</v>
      </c>
      <c r="BQ52">
        <f t="shared" si="0"/>
        <v>474.88000000000005</v>
      </c>
      <c r="BR52" t="s">
        <v>406</v>
      </c>
    </row>
    <row r="53" spans="1:70">
      <c r="A53" t="s">
        <v>458</v>
      </c>
      <c r="B53" t="s">
        <v>459</v>
      </c>
      <c r="C53" t="s">
        <v>71</v>
      </c>
      <c r="D53" t="s">
        <v>289</v>
      </c>
      <c r="E53" t="s">
        <v>73</v>
      </c>
      <c r="F53" t="s">
        <v>74</v>
      </c>
      <c r="G53">
        <v>240366</v>
      </c>
      <c r="H53" t="s">
        <v>74</v>
      </c>
      <c r="I53" t="s">
        <v>75</v>
      </c>
      <c r="J53" t="s">
        <v>74</v>
      </c>
      <c r="K53" t="s">
        <v>460</v>
      </c>
      <c r="L53" t="s">
        <v>77</v>
      </c>
      <c r="M53" t="s">
        <v>78</v>
      </c>
      <c r="N53" t="s">
        <v>461</v>
      </c>
      <c r="O53" t="s">
        <v>462</v>
      </c>
      <c r="P53" t="s">
        <v>96</v>
      </c>
      <c r="X53">
        <v>17</v>
      </c>
      <c r="AF53" t="s">
        <v>463</v>
      </c>
      <c r="AG53" t="s">
        <v>296</v>
      </c>
      <c r="AH53" t="s">
        <v>464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2.5499999999999998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262.64999999999998</v>
      </c>
      <c r="BE53">
        <v>0</v>
      </c>
      <c r="BF53">
        <v>680</v>
      </c>
      <c r="BG53">
        <v>0</v>
      </c>
      <c r="BH53">
        <v>0</v>
      </c>
      <c r="BI53">
        <v>136</v>
      </c>
      <c r="BJ53">
        <v>0</v>
      </c>
      <c r="BK53">
        <v>0</v>
      </c>
      <c r="BL53">
        <v>0</v>
      </c>
      <c r="BM53">
        <v>0</v>
      </c>
      <c r="BN53">
        <v>1081.2</v>
      </c>
      <c r="BO53">
        <v>172.99</v>
      </c>
      <c r="BP53">
        <v>43.25</v>
      </c>
      <c r="BQ53">
        <f t="shared" si="0"/>
        <v>1210.94</v>
      </c>
      <c r="BR53" t="s">
        <v>83</v>
      </c>
    </row>
    <row r="54" spans="1:70">
      <c r="A54" t="s">
        <v>465</v>
      </c>
      <c r="B54" t="s">
        <v>466</v>
      </c>
      <c r="C54" t="s">
        <v>71</v>
      </c>
      <c r="D54" t="s">
        <v>289</v>
      </c>
      <c r="E54" t="s">
        <v>73</v>
      </c>
      <c r="F54" t="s">
        <v>74</v>
      </c>
      <c r="G54">
        <v>240365</v>
      </c>
      <c r="H54" t="s">
        <v>74</v>
      </c>
      <c r="I54" t="s">
        <v>75</v>
      </c>
      <c r="J54" t="s">
        <v>74</v>
      </c>
      <c r="K54" t="s">
        <v>467</v>
      </c>
      <c r="L54" t="s">
        <v>77</v>
      </c>
      <c r="M54" t="s">
        <v>78</v>
      </c>
      <c r="N54" t="s">
        <v>468</v>
      </c>
      <c r="O54" t="s">
        <v>469</v>
      </c>
      <c r="P54" t="s">
        <v>96</v>
      </c>
      <c r="X54">
        <v>11</v>
      </c>
      <c r="AF54" t="s">
        <v>470</v>
      </c>
      <c r="AG54" t="s">
        <v>296</v>
      </c>
      <c r="AH54" t="s">
        <v>470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1.65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508.09</v>
      </c>
      <c r="BE54">
        <v>0</v>
      </c>
      <c r="BF54">
        <v>440</v>
      </c>
      <c r="BG54">
        <v>0</v>
      </c>
      <c r="BH54">
        <v>0</v>
      </c>
      <c r="BI54">
        <v>88</v>
      </c>
      <c r="BJ54">
        <v>0</v>
      </c>
      <c r="BK54">
        <v>0</v>
      </c>
      <c r="BL54">
        <v>0</v>
      </c>
      <c r="BM54">
        <v>0</v>
      </c>
      <c r="BN54">
        <v>1037.74</v>
      </c>
      <c r="BO54">
        <v>166.03</v>
      </c>
      <c r="BP54">
        <v>41.51</v>
      </c>
      <c r="BQ54">
        <f t="shared" si="0"/>
        <v>1162.26</v>
      </c>
      <c r="BR54" t="s">
        <v>141</v>
      </c>
    </row>
    <row r="55" spans="1:70">
      <c r="A55" t="s">
        <v>471</v>
      </c>
      <c r="B55" t="s">
        <v>472</v>
      </c>
      <c r="C55" t="s">
        <v>71</v>
      </c>
      <c r="D55" t="s">
        <v>289</v>
      </c>
      <c r="E55" t="s">
        <v>73</v>
      </c>
      <c r="F55" t="s">
        <v>74</v>
      </c>
      <c r="G55">
        <v>240364</v>
      </c>
      <c r="H55" t="s">
        <v>74</v>
      </c>
      <c r="I55" t="s">
        <v>75</v>
      </c>
      <c r="J55" t="s">
        <v>74</v>
      </c>
      <c r="K55" t="s">
        <v>473</v>
      </c>
      <c r="L55" t="s">
        <v>77</v>
      </c>
      <c r="M55" t="s">
        <v>78</v>
      </c>
      <c r="N55" t="s">
        <v>474</v>
      </c>
      <c r="O55" t="s">
        <v>475</v>
      </c>
      <c r="P55" t="s">
        <v>96</v>
      </c>
      <c r="X55">
        <v>17</v>
      </c>
      <c r="AF55" t="s">
        <v>464</v>
      </c>
      <c r="AG55" t="s">
        <v>296</v>
      </c>
      <c r="AH55" t="s">
        <v>464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2.5499999999999998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785.23</v>
      </c>
      <c r="BE55">
        <v>0</v>
      </c>
      <c r="BF55">
        <v>680</v>
      </c>
      <c r="BG55">
        <v>0</v>
      </c>
      <c r="BH55">
        <v>0</v>
      </c>
      <c r="BI55">
        <v>136</v>
      </c>
      <c r="BJ55">
        <v>0</v>
      </c>
      <c r="BK55">
        <v>0</v>
      </c>
      <c r="BL55">
        <v>0</v>
      </c>
      <c r="BM55">
        <v>0</v>
      </c>
      <c r="BN55">
        <v>1603.78</v>
      </c>
      <c r="BO55">
        <v>256.61</v>
      </c>
      <c r="BP55">
        <v>64.150000000000006</v>
      </c>
      <c r="BQ55">
        <f t="shared" si="0"/>
        <v>1796.2399999999998</v>
      </c>
      <c r="BR55" t="s">
        <v>476</v>
      </c>
    </row>
    <row r="56" spans="1:70">
      <c r="A56" t="s">
        <v>477</v>
      </c>
      <c r="B56" t="s">
        <v>478</v>
      </c>
      <c r="C56" t="s">
        <v>71</v>
      </c>
      <c r="D56" t="s">
        <v>289</v>
      </c>
      <c r="E56" t="s">
        <v>73</v>
      </c>
      <c r="F56" t="s">
        <v>74</v>
      </c>
      <c r="G56">
        <v>240362</v>
      </c>
      <c r="H56" t="s">
        <v>74</v>
      </c>
      <c r="I56" t="s">
        <v>75</v>
      </c>
      <c r="J56" t="s">
        <v>74</v>
      </c>
      <c r="K56" t="s">
        <v>479</v>
      </c>
      <c r="L56" t="s">
        <v>77</v>
      </c>
      <c r="M56" t="s">
        <v>78</v>
      </c>
      <c r="N56" t="s">
        <v>480</v>
      </c>
      <c r="O56" t="s">
        <v>481</v>
      </c>
      <c r="P56" t="s">
        <v>96</v>
      </c>
      <c r="X56">
        <v>16</v>
      </c>
      <c r="AF56" t="s">
        <v>482</v>
      </c>
      <c r="AG56" t="s">
        <v>296</v>
      </c>
      <c r="AH56" t="s">
        <v>482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2.4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247.2</v>
      </c>
      <c r="BE56">
        <v>0</v>
      </c>
      <c r="BF56">
        <v>640</v>
      </c>
      <c r="BG56">
        <v>0</v>
      </c>
      <c r="BH56">
        <v>0</v>
      </c>
      <c r="BI56">
        <v>128</v>
      </c>
      <c r="BJ56">
        <v>0</v>
      </c>
      <c r="BK56">
        <v>0</v>
      </c>
      <c r="BL56">
        <v>0</v>
      </c>
      <c r="BM56">
        <v>0</v>
      </c>
      <c r="BN56">
        <v>1017.6</v>
      </c>
      <c r="BO56">
        <v>162.81</v>
      </c>
      <c r="BP56">
        <v>40.71</v>
      </c>
      <c r="BQ56">
        <f t="shared" si="0"/>
        <v>1139.7</v>
      </c>
      <c r="BR56" t="s">
        <v>365</v>
      </c>
    </row>
    <row r="57" spans="1:70">
      <c r="A57" t="s">
        <v>483</v>
      </c>
      <c r="B57" t="s">
        <v>484</v>
      </c>
      <c r="C57" t="s">
        <v>71</v>
      </c>
      <c r="D57" t="s">
        <v>289</v>
      </c>
      <c r="E57" t="s">
        <v>73</v>
      </c>
      <c r="F57" t="s">
        <v>74</v>
      </c>
      <c r="G57">
        <v>240386</v>
      </c>
      <c r="H57" t="s">
        <v>74</v>
      </c>
      <c r="I57" t="s">
        <v>75</v>
      </c>
      <c r="J57" t="s">
        <v>74</v>
      </c>
      <c r="K57" t="s">
        <v>485</v>
      </c>
      <c r="L57" t="s">
        <v>77</v>
      </c>
      <c r="M57" t="s">
        <v>78</v>
      </c>
      <c r="N57" t="s">
        <v>421</v>
      </c>
      <c r="O57" t="s">
        <v>486</v>
      </c>
      <c r="P57" t="s">
        <v>96</v>
      </c>
      <c r="X57">
        <v>12</v>
      </c>
      <c r="AF57" t="s">
        <v>379</v>
      </c>
      <c r="AG57" t="s">
        <v>296</v>
      </c>
      <c r="AH57" t="s">
        <v>379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1.8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554.28</v>
      </c>
      <c r="BE57">
        <v>0</v>
      </c>
      <c r="BF57">
        <v>480</v>
      </c>
      <c r="BG57">
        <v>0</v>
      </c>
      <c r="BH57">
        <v>0</v>
      </c>
      <c r="BI57">
        <v>96</v>
      </c>
      <c r="BJ57">
        <v>0</v>
      </c>
      <c r="BK57">
        <v>0</v>
      </c>
      <c r="BL57">
        <v>0</v>
      </c>
      <c r="BM57">
        <v>0</v>
      </c>
      <c r="BN57">
        <v>1132.08</v>
      </c>
      <c r="BO57">
        <v>181.13</v>
      </c>
      <c r="BP57">
        <v>45.28</v>
      </c>
      <c r="BQ57">
        <f t="shared" si="0"/>
        <v>1267.93</v>
      </c>
      <c r="BR57" t="s">
        <v>423</v>
      </c>
    </row>
    <row r="58" spans="1:70">
      <c r="A58" t="s">
        <v>487</v>
      </c>
      <c r="B58" t="s">
        <v>488</v>
      </c>
      <c r="C58" t="s">
        <v>71</v>
      </c>
      <c r="D58" t="s">
        <v>289</v>
      </c>
      <c r="E58" t="s">
        <v>73</v>
      </c>
      <c r="F58" t="s">
        <v>74</v>
      </c>
      <c r="G58">
        <v>240385</v>
      </c>
      <c r="H58" t="s">
        <v>74</v>
      </c>
      <c r="I58" t="s">
        <v>75</v>
      </c>
      <c r="J58" t="s">
        <v>74</v>
      </c>
      <c r="K58" t="s">
        <v>489</v>
      </c>
      <c r="L58" t="s">
        <v>77</v>
      </c>
      <c r="M58" t="s">
        <v>78</v>
      </c>
      <c r="N58" t="s">
        <v>137</v>
      </c>
      <c r="O58" t="s">
        <v>490</v>
      </c>
      <c r="P58" t="s">
        <v>96</v>
      </c>
      <c r="X58">
        <v>22</v>
      </c>
      <c r="AF58" t="s">
        <v>445</v>
      </c>
      <c r="AG58" t="s">
        <v>296</v>
      </c>
      <c r="AH58" t="s">
        <v>445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3.3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1016.18</v>
      </c>
      <c r="BE58">
        <v>0</v>
      </c>
      <c r="BF58">
        <v>880</v>
      </c>
      <c r="BG58">
        <v>0</v>
      </c>
      <c r="BH58">
        <v>0</v>
      </c>
      <c r="BI58">
        <v>176</v>
      </c>
      <c r="BJ58">
        <v>0</v>
      </c>
      <c r="BK58">
        <v>0</v>
      </c>
      <c r="BL58">
        <v>0</v>
      </c>
      <c r="BM58">
        <v>0</v>
      </c>
      <c r="BN58">
        <v>2075.48</v>
      </c>
      <c r="BO58">
        <v>332.08</v>
      </c>
      <c r="BP58">
        <v>83.02</v>
      </c>
      <c r="BQ58">
        <f t="shared" si="0"/>
        <v>2324.54</v>
      </c>
      <c r="BR58" t="s">
        <v>141</v>
      </c>
    </row>
    <row r="59" spans="1:70">
      <c r="A59" t="s">
        <v>491</v>
      </c>
      <c r="B59" t="s">
        <v>492</v>
      </c>
      <c r="C59" t="s">
        <v>71</v>
      </c>
      <c r="D59" t="s">
        <v>289</v>
      </c>
      <c r="E59" t="s">
        <v>73</v>
      </c>
      <c r="F59" t="s">
        <v>74</v>
      </c>
      <c r="G59">
        <v>240383</v>
      </c>
      <c r="H59" t="s">
        <v>74</v>
      </c>
      <c r="I59" t="s">
        <v>75</v>
      </c>
      <c r="J59" t="s">
        <v>74</v>
      </c>
      <c r="K59" t="s">
        <v>493</v>
      </c>
      <c r="L59" t="s">
        <v>77</v>
      </c>
      <c r="M59" t="s">
        <v>78</v>
      </c>
      <c r="N59" t="s">
        <v>494</v>
      </c>
      <c r="O59" t="s">
        <v>495</v>
      </c>
      <c r="P59" t="s">
        <v>96</v>
      </c>
      <c r="X59">
        <v>14</v>
      </c>
      <c r="AF59" t="s">
        <v>413</v>
      </c>
      <c r="AG59" t="s">
        <v>296</v>
      </c>
      <c r="AH59" t="s">
        <v>413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2.1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646.66</v>
      </c>
      <c r="BE59">
        <v>0</v>
      </c>
      <c r="BF59">
        <v>560</v>
      </c>
      <c r="BG59">
        <v>0</v>
      </c>
      <c r="BH59">
        <v>0</v>
      </c>
      <c r="BI59">
        <v>112</v>
      </c>
      <c r="BJ59">
        <v>0</v>
      </c>
      <c r="BK59">
        <v>0</v>
      </c>
      <c r="BL59">
        <v>0</v>
      </c>
      <c r="BM59">
        <v>0</v>
      </c>
      <c r="BN59">
        <v>1320.76</v>
      </c>
      <c r="BO59">
        <v>211.33</v>
      </c>
      <c r="BP59">
        <v>52.83</v>
      </c>
      <c r="BQ59">
        <f t="shared" si="0"/>
        <v>1479.26</v>
      </c>
      <c r="BR59" t="s">
        <v>494</v>
      </c>
    </row>
    <row r="60" spans="1:70">
      <c r="A60" t="s">
        <v>496</v>
      </c>
      <c r="B60" t="s">
        <v>497</v>
      </c>
      <c r="C60" t="s">
        <v>71</v>
      </c>
      <c r="D60" t="s">
        <v>289</v>
      </c>
      <c r="E60" t="s">
        <v>73</v>
      </c>
      <c r="F60" t="s">
        <v>74</v>
      </c>
      <c r="G60">
        <v>240382</v>
      </c>
      <c r="H60" t="s">
        <v>74</v>
      </c>
      <c r="I60" t="s">
        <v>75</v>
      </c>
      <c r="J60" t="s">
        <v>74</v>
      </c>
      <c r="K60" t="s">
        <v>498</v>
      </c>
      <c r="L60" t="s">
        <v>77</v>
      </c>
      <c r="M60" t="s">
        <v>78</v>
      </c>
      <c r="N60" t="s">
        <v>499</v>
      </c>
      <c r="O60" t="s">
        <v>500</v>
      </c>
      <c r="P60" t="s">
        <v>96</v>
      </c>
      <c r="X60">
        <v>33</v>
      </c>
      <c r="AF60" t="s">
        <v>502</v>
      </c>
      <c r="AG60" t="s">
        <v>296</v>
      </c>
      <c r="AH60" t="s">
        <v>502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4.95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1524.27</v>
      </c>
      <c r="BE60">
        <v>0</v>
      </c>
      <c r="BF60">
        <v>1320</v>
      </c>
      <c r="BG60">
        <v>0</v>
      </c>
      <c r="BH60">
        <v>0</v>
      </c>
      <c r="BI60">
        <v>264</v>
      </c>
      <c r="BJ60">
        <v>0</v>
      </c>
      <c r="BK60">
        <v>0</v>
      </c>
      <c r="BL60">
        <v>0</v>
      </c>
      <c r="BM60">
        <v>0</v>
      </c>
      <c r="BN60">
        <v>3113.22</v>
      </c>
      <c r="BO60">
        <v>498.11</v>
      </c>
      <c r="BP60">
        <v>124.53</v>
      </c>
      <c r="BQ60">
        <f t="shared" si="0"/>
        <v>3486.7999999999997</v>
      </c>
      <c r="BR60" t="s">
        <v>501</v>
      </c>
    </row>
    <row r="61" spans="1:70">
      <c r="A61" t="s">
        <v>503</v>
      </c>
      <c r="B61" t="s">
        <v>504</v>
      </c>
      <c r="C61" t="s">
        <v>71</v>
      </c>
      <c r="D61" t="s">
        <v>289</v>
      </c>
      <c r="E61" t="s">
        <v>73</v>
      </c>
      <c r="F61" t="s">
        <v>74</v>
      </c>
      <c r="G61">
        <v>240378</v>
      </c>
      <c r="H61" t="s">
        <v>74</v>
      </c>
      <c r="I61" t="s">
        <v>75</v>
      </c>
      <c r="J61" t="s">
        <v>74</v>
      </c>
      <c r="K61" t="s">
        <v>505</v>
      </c>
      <c r="L61" t="s">
        <v>77</v>
      </c>
      <c r="M61" t="s">
        <v>78</v>
      </c>
      <c r="N61" t="s">
        <v>438</v>
      </c>
      <c r="O61" t="s">
        <v>506</v>
      </c>
      <c r="P61" t="s">
        <v>96</v>
      </c>
      <c r="X61">
        <v>6</v>
      </c>
      <c r="AF61" t="s">
        <v>400</v>
      </c>
      <c r="AG61" t="s">
        <v>296</v>
      </c>
      <c r="AH61" t="s">
        <v>400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0.9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92.7</v>
      </c>
      <c r="BE61">
        <v>0</v>
      </c>
      <c r="BF61">
        <v>240</v>
      </c>
      <c r="BG61">
        <v>0</v>
      </c>
      <c r="BH61">
        <v>0</v>
      </c>
      <c r="BI61">
        <v>48</v>
      </c>
      <c r="BJ61">
        <v>0</v>
      </c>
      <c r="BK61">
        <v>0</v>
      </c>
      <c r="BL61">
        <v>0</v>
      </c>
      <c r="BM61">
        <v>0</v>
      </c>
      <c r="BN61">
        <v>381.6</v>
      </c>
      <c r="BO61">
        <v>61.05</v>
      </c>
      <c r="BP61">
        <v>15.27</v>
      </c>
      <c r="BQ61">
        <f t="shared" si="0"/>
        <v>427.38000000000005</v>
      </c>
      <c r="BR61" t="s">
        <v>440</v>
      </c>
    </row>
    <row r="62" spans="1:70">
      <c r="A62" t="s">
        <v>507</v>
      </c>
      <c r="B62" t="s">
        <v>508</v>
      </c>
      <c r="C62" t="s">
        <v>71</v>
      </c>
      <c r="D62" t="s">
        <v>289</v>
      </c>
      <c r="E62" t="s">
        <v>73</v>
      </c>
      <c r="F62" t="s">
        <v>74</v>
      </c>
      <c r="G62" t="s">
        <v>509</v>
      </c>
      <c r="H62" t="s">
        <v>74</v>
      </c>
      <c r="I62" t="s">
        <v>75</v>
      </c>
      <c r="J62" t="s">
        <v>74</v>
      </c>
      <c r="K62" t="s">
        <v>510</v>
      </c>
      <c r="L62" t="s">
        <v>77</v>
      </c>
      <c r="M62" t="s">
        <v>78</v>
      </c>
      <c r="N62" t="s">
        <v>137</v>
      </c>
      <c r="O62" t="s">
        <v>511</v>
      </c>
      <c r="P62" t="s">
        <v>96</v>
      </c>
      <c r="X62">
        <v>17</v>
      </c>
      <c r="AF62" t="s">
        <v>464</v>
      </c>
      <c r="AG62" t="s">
        <v>296</v>
      </c>
      <c r="AH62" t="s">
        <v>464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2.5499999999999998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785.23</v>
      </c>
      <c r="BE62">
        <v>0</v>
      </c>
      <c r="BF62">
        <v>680</v>
      </c>
      <c r="BG62">
        <v>0</v>
      </c>
      <c r="BH62">
        <v>0</v>
      </c>
      <c r="BI62">
        <v>136</v>
      </c>
      <c r="BJ62">
        <v>0</v>
      </c>
      <c r="BK62">
        <v>0</v>
      </c>
      <c r="BL62">
        <v>0</v>
      </c>
      <c r="BM62">
        <v>0</v>
      </c>
      <c r="BN62">
        <v>1603.78</v>
      </c>
      <c r="BO62">
        <v>256.61</v>
      </c>
      <c r="BP62">
        <v>64.150000000000006</v>
      </c>
      <c r="BQ62">
        <f t="shared" si="0"/>
        <v>1796.2399999999998</v>
      </c>
      <c r="BR62" t="s">
        <v>141</v>
      </c>
    </row>
    <row r="63" spans="1:70">
      <c r="A63" t="s">
        <v>512</v>
      </c>
      <c r="B63" t="s">
        <v>513</v>
      </c>
      <c r="C63" t="s">
        <v>71</v>
      </c>
      <c r="D63" t="s">
        <v>289</v>
      </c>
      <c r="E63" t="s">
        <v>73</v>
      </c>
      <c r="F63" t="s">
        <v>74</v>
      </c>
      <c r="G63">
        <v>240412</v>
      </c>
      <c r="H63" t="s">
        <v>74</v>
      </c>
      <c r="I63" t="s">
        <v>75</v>
      </c>
      <c r="J63" t="s">
        <v>74</v>
      </c>
      <c r="K63" t="s">
        <v>514</v>
      </c>
      <c r="L63" t="s">
        <v>77</v>
      </c>
      <c r="M63" t="s">
        <v>78</v>
      </c>
      <c r="N63" t="s">
        <v>250</v>
      </c>
      <c r="O63" t="s">
        <v>515</v>
      </c>
      <c r="P63" t="s">
        <v>96</v>
      </c>
      <c r="X63">
        <v>11</v>
      </c>
      <c r="AF63" t="s">
        <v>470</v>
      </c>
      <c r="AG63" t="s">
        <v>296</v>
      </c>
      <c r="AH63" t="s">
        <v>470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1.65</v>
      </c>
      <c r="AT63">
        <v>0</v>
      </c>
      <c r="AU63">
        <v>0</v>
      </c>
      <c r="AV63">
        <v>289.19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508.09</v>
      </c>
      <c r="BE63">
        <v>0</v>
      </c>
      <c r="BF63">
        <v>440</v>
      </c>
      <c r="BG63">
        <v>0</v>
      </c>
      <c r="BH63">
        <v>0</v>
      </c>
      <c r="BI63">
        <v>88</v>
      </c>
      <c r="BJ63">
        <v>0</v>
      </c>
      <c r="BK63">
        <v>0</v>
      </c>
      <c r="BL63">
        <v>0</v>
      </c>
      <c r="BM63">
        <v>0</v>
      </c>
      <c r="BN63">
        <v>1326.93</v>
      </c>
      <c r="BO63">
        <v>212.3</v>
      </c>
      <c r="BP63">
        <v>41.51</v>
      </c>
      <c r="BQ63">
        <f t="shared" si="0"/>
        <v>1497.72</v>
      </c>
      <c r="BR63" t="s">
        <v>253</v>
      </c>
    </row>
    <row r="64" spans="1:70">
      <c r="A64" t="s">
        <v>516</v>
      </c>
      <c r="B64" t="s">
        <v>517</v>
      </c>
      <c r="C64" t="s">
        <v>71</v>
      </c>
      <c r="D64" t="s">
        <v>289</v>
      </c>
      <c r="E64" t="s">
        <v>73</v>
      </c>
      <c r="F64" t="s">
        <v>74</v>
      </c>
      <c r="G64">
        <v>240403</v>
      </c>
      <c r="H64" t="s">
        <v>74</v>
      </c>
      <c r="I64" t="s">
        <v>75</v>
      </c>
      <c r="J64" t="s">
        <v>74</v>
      </c>
      <c r="K64" t="s">
        <v>518</v>
      </c>
      <c r="L64" t="s">
        <v>77</v>
      </c>
      <c r="M64" t="s">
        <v>78</v>
      </c>
      <c r="N64" t="s">
        <v>519</v>
      </c>
      <c r="O64" t="s">
        <v>520</v>
      </c>
      <c r="P64" t="s">
        <v>96</v>
      </c>
      <c r="X64">
        <v>10</v>
      </c>
      <c r="AF64" t="s">
        <v>372</v>
      </c>
      <c r="AG64" t="s">
        <v>296</v>
      </c>
      <c r="AH64" t="s">
        <v>372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1.5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154.5</v>
      </c>
      <c r="BE64">
        <v>0</v>
      </c>
      <c r="BF64">
        <v>400</v>
      </c>
      <c r="BG64">
        <v>0</v>
      </c>
      <c r="BH64">
        <v>0</v>
      </c>
      <c r="BI64">
        <v>80</v>
      </c>
      <c r="BJ64">
        <v>0</v>
      </c>
      <c r="BK64">
        <v>0</v>
      </c>
      <c r="BL64">
        <v>0</v>
      </c>
      <c r="BM64">
        <v>0</v>
      </c>
      <c r="BN64">
        <v>636</v>
      </c>
      <c r="BO64">
        <v>101.76</v>
      </c>
      <c r="BP64">
        <v>25.44</v>
      </c>
      <c r="BQ64">
        <f t="shared" si="0"/>
        <v>712.31999999999994</v>
      </c>
      <c r="BR64" t="s">
        <v>119</v>
      </c>
    </row>
    <row r="65" spans="1:70">
      <c r="A65" t="s">
        <v>521</v>
      </c>
      <c r="B65" t="s">
        <v>522</v>
      </c>
      <c r="C65" t="s">
        <v>71</v>
      </c>
      <c r="D65" t="s">
        <v>289</v>
      </c>
      <c r="E65" t="s">
        <v>73</v>
      </c>
      <c r="F65" t="s">
        <v>74</v>
      </c>
      <c r="G65">
        <v>240402</v>
      </c>
      <c r="H65" t="s">
        <v>74</v>
      </c>
      <c r="I65" t="s">
        <v>75</v>
      </c>
      <c r="J65" t="s">
        <v>74</v>
      </c>
      <c r="K65" t="s">
        <v>523</v>
      </c>
      <c r="L65" t="s">
        <v>77</v>
      </c>
      <c r="M65" t="s">
        <v>78</v>
      </c>
      <c r="N65" t="s">
        <v>524</v>
      </c>
      <c r="O65" t="s">
        <v>525</v>
      </c>
      <c r="P65" t="s">
        <v>96</v>
      </c>
      <c r="X65">
        <v>17</v>
      </c>
      <c r="AF65" t="s">
        <v>464</v>
      </c>
      <c r="AG65" t="s">
        <v>296</v>
      </c>
      <c r="AH65" t="s">
        <v>464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2.5499999999999998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262.64999999999998</v>
      </c>
      <c r="BE65">
        <v>0</v>
      </c>
      <c r="BF65">
        <v>680</v>
      </c>
      <c r="BG65">
        <v>0</v>
      </c>
      <c r="BH65">
        <v>0</v>
      </c>
      <c r="BI65">
        <v>136</v>
      </c>
      <c r="BJ65">
        <v>0</v>
      </c>
      <c r="BK65">
        <v>0</v>
      </c>
      <c r="BL65">
        <v>0</v>
      </c>
      <c r="BM65">
        <v>0</v>
      </c>
      <c r="BN65">
        <v>1081.2</v>
      </c>
      <c r="BO65">
        <v>172.99</v>
      </c>
      <c r="BP65">
        <v>43.25</v>
      </c>
      <c r="BQ65">
        <f t="shared" si="0"/>
        <v>1210.94</v>
      </c>
      <c r="BR65" t="s">
        <v>524</v>
      </c>
    </row>
    <row r="66" spans="1:70">
      <c r="A66" t="s">
        <v>526</v>
      </c>
      <c r="B66" t="s">
        <v>527</v>
      </c>
      <c r="C66" t="s">
        <v>71</v>
      </c>
      <c r="D66" t="s">
        <v>289</v>
      </c>
      <c r="E66" t="s">
        <v>73</v>
      </c>
      <c r="F66" t="s">
        <v>74</v>
      </c>
      <c r="G66">
        <v>240401</v>
      </c>
      <c r="H66" t="s">
        <v>74</v>
      </c>
      <c r="I66" t="s">
        <v>75</v>
      </c>
      <c r="J66" t="s">
        <v>74</v>
      </c>
      <c r="K66" t="s">
        <v>528</v>
      </c>
      <c r="L66" t="s">
        <v>77</v>
      </c>
      <c r="M66" t="s">
        <v>78</v>
      </c>
      <c r="N66" t="s">
        <v>92</v>
      </c>
      <c r="O66" t="s">
        <v>529</v>
      </c>
      <c r="P66" t="s">
        <v>96</v>
      </c>
      <c r="X66">
        <v>10</v>
      </c>
      <c r="AF66" t="s">
        <v>372</v>
      </c>
      <c r="AG66" t="s">
        <v>296</v>
      </c>
      <c r="AH66" t="s">
        <v>372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1.5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154.5</v>
      </c>
      <c r="BE66">
        <v>0</v>
      </c>
      <c r="BF66">
        <v>400</v>
      </c>
      <c r="BG66">
        <v>0</v>
      </c>
      <c r="BH66">
        <v>0</v>
      </c>
      <c r="BI66">
        <v>80</v>
      </c>
      <c r="BJ66">
        <v>0</v>
      </c>
      <c r="BK66">
        <v>0</v>
      </c>
      <c r="BL66">
        <v>0</v>
      </c>
      <c r="BM66">
        <v>0</v>
      </c>
      <c r="BN66">
        <v>636</v>
      </c>
      <c r="BO66">
        <v>101.76</v>
      </c>
      <c r="BP66">
        <v>25.44</v>
      </c>
      <c r="BQ66">
        <f t="shared" ref="BQ66:BQ129" si="1">(BN66+BO66-BP66)</f>
        <v>712.31999999999994</v>
      </c>
      <c r="BR66" t="s">
        <v>371</v>
      </c>
    </row>
    <row r="67" spans="1:70">
      <c r="A67" t="s">
        <v>530</v>
      </c>
      <c r="B67" t="s">
        <v>531</v>
      </c>
      <c r="C67" t="s">
        <v>71</v>
      </c>
      <c r="D67" t="s">
        <v>289</v>
      </c>
      <c r="E67" t="s">
        <v>73</v>
      </c>
      <c r="F67" t="s">
        <v>74</v>
      </c>
      <c r="G67">
        <v>240400</v>
      </c>
      <c r="H67" t="s">
        <v>74</v>
      </c>
      <c r="I67" t="s">
        <v>75</v>
      </c>
      <c r="J67" t="s">
        <v>74</v>
      </c>
      <c r="K67" t="s">
        <v>532</v>
      </c>
      <c r="L67" t="s">
        <v>77</v>
      </c>
      <c r="M67" t="s">
        <v>78</v>
      </c>
      <c r="N67" t="s">
        <v>519</v>
      </c>
      <c r="O67" t="s">
        <v>533</v>
      </c>
      <c r="P67" t="s">
        <v>96</v>
      </c>
      <c r="X67">
        <v>10</v>
      </c>
      <c r="AF67" t="s">
        <v>372</v>
      </c>
      <c r="AG67" t="s">
        <v>296</v>
      </c>
      <c r="AH67" t="s">
        <v>372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1.5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154.5</v>
      </c>
      <c r="BE67">
        <v>0</v>
      </c>
      <c r="BF67">
        <v>400</v>
      </c>
      <c r="BG67">
        <v>0</v>
      </c>
      <c r="BH67">
        <v>0</v>
      </c>
      <c r="BI67">
        <v>80</v>
      </c>
      <c r="BJ67">
        <v>0</v>
      </c>
      <c r="BK67">
        <v>0</v>
      </c>
      <c r="BL67">
        <v>0</v>
      </c>
      <c r="BM67">
        <v>0</v>
      </c>
      <c r="BN67">
        <v>636</v>
      </c>
      <c r="BO67">
        <v>101.76</v>
      </c>
      <c r="BP67">
        <v>25.44</v>
      </c>
      <c r="BQ67">
        <f t="shared" si="1"/>
        <v>712.31999999999994</v>
      </c>
      <c r="BR67" t="s">
        <v>119</v>
      </c>
    </row>
    <row r="68" spans="1:70">
      <c r="A68" t="s">
        <v>534</v>
      </c>
      <c r="B68" t="s">
        <v>535</v>
      </c>
      <c r="C68" t="s">
        <v>71</v>
      </c>
      <c r="D68" t="s">
        <v>289</v>
      </c>
      <c r="E68" t="s">
        <v>73</v>
      </c>
      <c r="F68" t="s">
        <v>74</v>
      </c>
      <c r="G68">
        <v>240399</v>
      </c>
      <c r="H68" t="s">
        <v>74</v>
      </c>
      <c r="I68" t="s">
        <v>75</v>
      </c>
      <c r="J68" t="s">
        <v>74</v>
      </c>
      <c r="K68" t="s">
        <v>536</v>
      </c>
      <c r="L68" t="s">
        <v>77</v>
      </c>
      <c r="M68" t="s">
        <v>78</v>
      </c>
      <c r="N68" t="s">
        <v>307</v>
      </c>
      <c r="O68" t="s">
        <v>537</v>
      </c>
      <c r="P68" t="s">
        <v>96</v>
      </c>
      <c r="X68">
        <v>13</v>
      </c>
      <c r="AF68" t="s">
        <v>434</v>
      </c>
      <c r="AG68" t="s">
        <v>296</v>
      </c>
      <c r="AH68" t="s">
        <v>434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1.95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200.85</v>
      </c>
      <c r="BE68">
        <v>0</v>
      </c>
      <c r="BF68">
        <v>520</v>
      </c>
      <c r="BG68">
        <v>0</v>
      </c>
      <c r="BH68">
        <v>0</v>
      </c>
      <c r="BI68">
        <v>104</v>
      </c>
      <c r="BJ68">
        <v>0</v>
      </c>
      <c r="BK68">
        <v>0</v>
      </c>
      <c r="BL68">
        <v>0</v>
      </c>
      <c r="BM68">
        <v>0</v>
      </c>
      <c r="BN68">
        <v>826.8</v>
      </c>
      <c r="BO68">
        <v>132.29</v>
      </c>
      <c r="BP68">
        <v>33.07</v>
      </c>
      <c r="BQ68">
        <f t="shared" si="1"/>
        <v>926.01999999999987</v>
      </c>
      <c r="BR68" t="s">
        <v>294</v>
      </c>
    </row>
    <row r="69" spans="1:70">
      <c r="A69" t="s">
        <v>538</v>
      </c>
      <c r="B69" t="s">
        <v>539</v>
      </c>
      <c r="C69" t="s">
        <v>71</v>
      </c>
      <c r="D69" t="s">
        <v>289</v>
      </c>
      <c r="E69" t="s">
        <v>73</v>
      </c>
      <c r="F69" t="s">
        <v>74</v>
      </c>
      <c r="G69">
        <v>240398</v>
      </c>
      <c r="H69" t="s">
        <v>74</v>
      </c>
      <c r="I69" t="s">
        <v>75</v>
      </c>
      <c r="J69" t="s">
        <v>74</v>
      </c>
      <c r="K69" t="s">
        <v>540</v>
      </c>
      <c r="L69" t="s">
        <v>77</v>
      </c>
      <c r="M69" t="s">
        <v>78</v>
      </c>
      <c r="N69" t="s">
        <v>438</v>
      </c>
      <c r="O69" t="s">
        <v>541</v>
      </c>
      <c r="P69" t="s">
        <v>96</v>
      </c>
      <c r="X69">
        <v>14</v>
      </c>
      <c r="AF69" t="s">
        <v>413</v>
      </c>
      <c r="AG69" t="s">
        <v>296</v>
      </c>
      <c r="AH69" t="s">
        <v>413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2.1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216.3</v>
      </c>
      <c r="BE69">
        <v>0</v>
      </c>
      <c r="BF69">
        <v>560</v>
      </c>
      <c r="BG69">
        <v>0</v>
      </c>
      <c r="BH69">
        <v>0</v>
      </c>
      <c r="BI69">
        <v>112</v>
      </c>
      <c r="BJ69">
        <v>0</v>
      </c>
      <c r="BK69">
        <v>0</v>
      </c>
      <c r="BL69">
        <v>0</v>
      </c>
      <c r="BM69">
        <v>0</v>
      </c>
      <c r="BN69">
        <v>890.4</v>
      </c>
      <c r="BO69">
        <v>142.47</v>
      </c>
      <c r="BP69">
        <v>35.61</v>
      </c>
      <c r="BQ69">
        <f t="shared" si="1"/>
        <v>997.25999999999988</v>
      </c>
      <c r="BR69" t="s">
        <v>440</v>
      </c>
    </row>
    <row r="70" spans="1:70">
      <c r="A70" t="s">
        <v>542</v>
      </c>
      <c r="B70" t="s">
        <v>543</v>
      </c>
      <c r="C70" t="s">
        <v>71</v>
      </c>
      <c r="D70" t="s">
        <v>289</v>
      </c>
      <c r="E70" t="s">
        <v>73</v>
      </c>
      <c r="F70" t="s">
        <v>74</v>
      </c>
      <c r="G70">
        <v>240397</v>
      </c>
      <c r="H70" t="s">
        <v>74</v>
      </c>
      <c r="I70" t="s">
        <v>75</v>
      </c>
      <c r="J70" t="s">
        <v>74</v>
      </c>
      <c r="K70" t="s">
        <v>544</v>
      </c>
      <c r="L70" t="s">
        <v>77</v>
      </c>
      <c r="M70" t="s">
        <v>78</v>
      </c>
      <c r="N70" t="s">
        <v>358</v>
      </c>
      <c r="O70" t="s">
        <v>545</v>
      </c>
      <c r="P70" t="s">
        <v>96</v>
      </c>
      <c r="X70">
        <v>13</v>
      </c>
      <c r="AF70" t="s">
        <v>434</v>
      </c>
      <c r="AG70" t="s">
        <v>296</v>
      </c>
      <c r="AH70" t="s">
        <v>434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1.95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600.47</v>
      </c>
      <c r="BE70">
        <v>0</v>
      </c>
      <c r="BF70">
        <v>520</v>
      </c>
      <c r="BG70">
        <v>0</v>
      </c>
      <c r="BH70">
        <v>0</v>
      </c>
      <c r="BI70">
        <v>104</v>
      </c>
      <c r="BJ70">
        <v>0</v>
      </c>
      <c r="BK70">
        <v>0</v>
      </c>
      <c r="BL70">
        <v>0</v>
      </c>
      <c r="BM70">
        <v>0</v>
      </c>
      <c r="BN70">
        <v>1226.42</v>
      </c>
      <c r="BO70">
        <v>196.23</v>
      </c>
      <c r="BP70">
        <v>49.06</v>
      </c>
      <c r="BQ70">
        <f t="shared" si="1"/>
        <v>1373.5900000000001</v>
      </c>
      <c r="BR70" t="s">
        <v>358</v>
      </c>
    </row>
    <row r="71" spans="1:70">
      <c r="A71" t="s">
        <v>546</v>
      </c>
      <c r="B71" t="s">
        <v>547</v>
      </c>
      <c r="C71" t="s">
        <v>71</v>
      </c>
      <c r="D71" t="s">
        <v>289</v>
      </c>
      <c r="E71" t="s">
        <v>73</v>
      </c>
      <c r="F71" t="s">
        <v>74</v>
      </c>
      <c r="G71">
        <v>240396</v>
      </c>
      <c r="H71" t="s">
        <v>74</v>
      </c>
      <c r="I71" t="s">
        <v>75</v>
      </c>
      <c r="J71" t="s">
        <v>74</v>
      </c>
      <c r="K71" t="s">
        <v>548</v>
      </c>
      <c r="L71" t="s">
        <v>77</v>
      </c>
      <c r="M71" t="s">
        <v>78</v>
      </c>
      <c r="N71" t="s">
        <v>191</v>
      </c>
      <c r="O71" t="s">
        <v>549</v>
      </c>
      <c r="P71" t="s">
        <v>96</v>
      </c>
      <c r="X71">
        <v>11</v>
      </c>
      <c r="AF71" t="s">
        <v>470</v>
      </c>
      <c r="AG71" t="s">
        <v>296</v>
      </c>
      <c r="AH71" t="s">
        <v>470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1.65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508.09</v>
      </c>
      <c r="BE71">
        <v>0</v>
      </c>
      <c r="BF71">
        <v>440</v>
      </c>
      <c r="BG71">
        <v>0</v>
      </c>
      <c r="BH71">
        <v>0</v>
      </c>
      <c r="BI71">
        <v>88</v>
      </c>
      <c r="BJ71">
        <v>0</v>
      </c>
      <c r="BK71">
        <v>0</v>
      </c>
      <c r="BL71">
        <v>0</v>
      </c>
      <c r="BM71">
        <v>0</v>
      </c>
      <c r="BN71">
        <v>1037.74</v>
      </c>
      <c r="BO71">
        <v>166.03</v>
      </c>
      <c r="BP71">
        <v>41.51</v>
      </c>
      <c r="BQ71">
        <f t="shared" si="1"/>
        <v>1162.26</v>
      </c>
      <c r="BR71" t="s">
        <v>195</v>
      </c>
    </row>
    <row r="72" spans="1:70">
      <c r="A72" t="s">
        <v>550</v>
      </c>
      <c r="B72" t="s">
        <v>551</v>
      </c>
      <c r="C72" t="s">
        <v>71</v>
      </c>
      <c r="D72" t="s">
        <v>289</v>
      </c>
      <c r="E72" t="s">
        <v>73</v>
      </c>
      <c r="F72" t="s">
        <v>74</v>
      </c>
      <c r="G72">
        <v>240395</v>
      </c>
      <c r="H72" t="s">
        <v>74</v>
      </c>
      <c r="I72" t="s">
        <v>75</v>
      </c>
      <c r="J72" t="s">
        <v>74</v>
      </c>
      <c r="K72" t="s">
        <v>552</v>
      </c>
      <c r="L72" t="s">
        <v>77</v>
      </c>
      <c r="M72" t="s">
        <v>78</v>
      </c>
      <c r="N72" t="s">
        <v>553</v>
      </c>
      <c r="O72" t="s">
        <v>554</v>
      </c>
      <c r="P72" t="s">
        <v>96</v>
      </c>
      <c r="X72">
        <v>14</v>
      </c>
      <c r="AF72" t="s">
        <v>413</v>
      </c>
      <c r="AG72" t="s">
        <v>296</v>
      </c>
      <c r="AH72" t="s">
        <v>413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2.1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216.3</v>
      </c>
      <c r="BE72">
        <v>0</v>
      </c>
      <c r="BF72">
        <v>560</v>
      </c>
      <c r="BG72">
        <v>0</v>
      </c>
      <c r="BH72">
        <v>0</v>
      </c>
      <c r="BI72">
        <v>112</v>
      </c>
      <c r="BJ72">
        <v>0</v>
      </c>
      <c r="BK72">
        <v>0</v>
      </c>
      <c r="BL72">
        <v>0</v>
      </c>
      <c r="BM72">
        <v>0</v>
      </c>
      <c r="BN72">
        <v>890.4</v>
      </c>
      <c r="BO72">
        <v>142.47</v>
      </c>
      <c r="BP72">
        <v>35.61</v>
      </c>
      <c r="BQ72">
        <f t="shared" si="1"/>
        <v>997.25999999999988</v>
      </c>
      <c r="BR72" t="s">
        <v>83</v>
      </c>
    </row>
    <row r="73" spans="1:70">
      <c r="A73" t="s">
        <v>555</v>
      </c>
      <c r="B73" t="s">
        <v>556</v>
      </c>
      <c r="C73" t="s">
        <v>71</v>
      </c>
      <c r="D73" t="s">
        <v>289</v>
      </c>
      <c r="E73" t="s">
        <v>73</v>
      </c>
      <c r="F73" t="s">
        <v>74</v>
      </c>
      <c r="G73">
        <v>240394</v>
      </c>
      <c r="H73" t="s">
        <v>74</v>
      </c>
      <c r="I73" t="s">
        <v>75</v>
      </c>
      <c r="J73" t="s">
        <v>74</v>
      </c>
      <c r="K73" t="s">
        <v>557</v>
      </c>
      <c r="L73" t="s">
        <v>77</v>
      </c>
      <c r="M73" t="s">
        <v>78</v>
      </c>
      <c r="N73" t="s">
        <v>558</v>
      </c>
      <c r="O73" t="s">
        <v>559</v>
      </c>
      <c r="P73" t="s">
        <v>96</v>
      </c>
      <c r="X73">
        <v>14</v>
      </c>
      <c r="AF73" t="s">
        <v>413</v>
      </c>
      <c r="AG73" t="s">
        <v>296</v>
      </c>
      <c r="AH73" t="s">
        <v>413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2.1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646.66</v>
      </c>
      <c r="BE73">
        <v>0</v>
      </c>
      <c r="BF73">
        <v>560</v>
      </c>
      <c r="BG73">
        <v>0</v>
      </c>
      <c r="BH73">
        <v>0</v>
      </c>
      <c r="BI73">
        <v>112</v>
      </c>
      <c r="BJ73">
        <v>0</v>
      </c>
      <c r="BK73">
        <v>0</v>
      </c>
      <c r="BL73">
        <v>0</v>
      </c>
      <c r="BM73">
        <v>0</v>
      </c>
      <c r="BN73">
        <v>1320.76</v>
      </c>
      <c r="BO73">
        <v>211.33</v>
      </c>
      <c r="BP73">
        <v>52.83</v>
      </c>
      <c r="BQ73">
        <f t="shared" si="1"/>
        <v>1479.26</v>
      </c>
      <c r="BR73" t="s">
        <v>560</v>
      </c>
    </row>
    <row r="74" spans="1:70">
      <c r="A74" t="s">
        <v>561</v>
      </c>
      <c r="B74" t="s">
        <v>562</v>
      </c>
      <c r="C74" t="s">
        <v>71</v>
      </c>
      <c r="D74" t="s">
        <v>289</v>
      </c>
      <c r="E74" t="s">
        <v>73</v>
      </c>
      <c r="F74" t="s">
        <v>74</v>
      </c>
      <c r="G74">
        <v>240393</v>
      </c>
      <c r="H74" t="s">
        <v>74</v>
      </c>
      <c r="I74" t="s">
        <v>75</v>
      </c>
      <c r="J74" t="s">
        <v>74</v>
      </c>
      <c r="K74" t="s">
        <v>563</v>
      </c>
      <c r="L74" t="s">
        <v>77</v>
      </c>
      <c r="M74" t="s">
        <v>78</v>
      </c>
      <c r="N74" t="s">
        <v>106</v>
      </c>
      <c r="O74" t="s">
        <v>564</v>
      </c>
      <c r="P74" t="s">
        <v>96</v>
      </c>
      <c r="X74">
        <v>14</v>
      </c>
      <c r="AF74" t="s">
        <v>413</v>
      </c>
      <c r="AG74" t="s">
        <v>296</v>
      </c>
      <c r="AH74" t="s">
        <v>413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2.1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646.66</v>
      </c>
      <c r="BE74">
        <v>0</v>
      </c>
      <c r="BF74">
        <v>560</v>
      </c>
      <c r="BG74">
        <v>0</v>
      </c>
      <c r="BH74">
        <v>0</v>
      </c>
      <c r="BI74">
        <v>112</v>
      </c>
      <c r="BJ74">
        <v>0</v>
      </c>
      <c r="BK74">
        <v>0</v>
      </c>
      <c r="BL74">
        <v>0</v>
      </c>
      <c r="BM74">
        <v>0</v>
      </c>
      <c r="BN74">
        <v>1320.76</v>
      </c>
      <c r="BO74">
        <v>211.33</v>
      </c>
      <c r="BP74">
        <v>52.83</v>
      </c>
      <c r="BQ74">
        <f t="shared" si="1"/>
        <v>1479.26</v>
      </c>
      <c r="BR74" t="s">
        <v>106</v>
      </c>
    </row>
    <row r="75" spans="1:70">
      <c r="A75" t="s">
        <v>565</v>
      </c>
      <c r="B75" t="s">
        <v>566</v>
      </c>
      <c r="C75" t="s">
        <v>71</v>
      </c>
      <c r="D75" t="s">
        <v>289</v>
      </c>
      <c r="E75" t="s">
        <v>73</v>
      </c>
      <c r="F75" t="s">
        <v>74</v>
      </c>
      <c r="G75">
        <v>240392</v>
      </c>
      <c r="H75" t="s">
        <v>74</v>
      </c>
      <c r="I75" t="s">
        <v>75</v>
      </c>
      <c r="J75" t="s">
        <v>74</v>
      </c>
      <c r="K75" t="s">
        <v>567</v>
      </c>
      <c r="L75" t="s">
        <v>77</v>
      </c>
      <c r="M75" t="s">
        <v>78</v>
      </c>
      <c r="N75" t="s">
        <v>330</v>
      </c>
      <c r="O75" t="s">
        <v>568</v>
      </c>
      <c r="P75" t="s">
        <v>96</v>
      </c>
      <c r="X75">
        <v>19</v>
      </c>
      <c r="AF75" t="s">
        <v>569</v>
      </c>
      <c r="AG75" t="s">
        <v>296</v>
      </c>
      <c r="AH75" t="s">
        <v>569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2.85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877.61</v>
      </c>
      <c r="BE75">
        <v>0</v>
      </c>
      <c r="BF75">
        <v>760</v>
      </c>
      <c r="BG75">
        <v>0</v>
      </c>
      <c r="BH75">
        <v>0</v>
      </c>
      <c r="BI75">
        <v>152</v>
      </c>
      <c r="BJ75">
        <v>0</v>
      </c>
      <c r="BK75">
        <v>0</v>
      </c>
      <c r="BL75">
        <v>0</v>
      </c>
      <c r="BM75">
        <v>0</v>
      </c>
      <c r="BN75">
        <v>1792.46</v>
      </c>
      <c r="BO75">
        <v>286.8</v>
      </c>
      <c r="BP75">
        <v>71.69</v>
      </c>
      <c r="BQ75">
        <f t="shared" si="1"/>
        <v>2007.5700000000002</v>
      </c>
      <c r="BR75" t="s">
        <v>332</v>
      </c>
    </row>
    <row r="76" spans="1:70">
      <c r="A76" t="s">
        <v>570</v>
      </c>
      <c r="B76" t="s">
        <v>571</v>
      </c>
      <c r="C76" t="s">
        <v>71</v>
      </c>
      <c r="D76" t="s">
        <v>289</v>
      </c>
      <c r="E76" t="s">
        <v>73</v>
      </c>
      <c r="F76" t="s">
        <v>74</v>
      </c>
      <c r="G76">
        <v>240391</v>
      </c>
      <c r="H76" t="s">
        <v>74</v>
      </c>
      <c r="I76" t="s">
        <v>75</v>
      </c>
      <c r="J76" t="s">
        <v>74</v>
      </c>
      <c r="K76" t="s">
        <v>572</v>
      </c>
      <c r="L76" t="s">
        <v>77</v>
      </c>
      <c r="M76" t="s">
        <v>78</v>
      </c>
      <c r="N76" t="s">
        <v>461</v>
      </c>
      <c r="O76" t="s">
        <v>573</v>
      </c>
      <c r="P76" t="s">
        <v>96</v>
      </c>
      <c r="X76">
        <v>29</v>
      </c>
      <c r="AF76" t="s">
        <v>574</v>
      </c>
      <c r="AG76" t="s">
        <v>296</v>
      </c>
      <c r="AH76" t="s">
        <v>574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4.3499999999999996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448.05</v>
      </c>
      <c r="BE76">
        <v>0</v>
      </c>
      <c r="BF76">
        <v>1160</v>
      </c>
      <c r="BG76">
        <v>0</v>
      </c>
      <c r="BH76">
        <v>0</v>
      </c>
      <c r="BI76">
        <v>232</v>
      </c>
      <c r="BJ76">
        <v>0</v>
      </c>
      <c r="BK76">
        <v>0</v>
      </c>
      <c r="BL76">
        <v>0</v>
      </c>
      <c r="BM76">
        <v>0</v>
      </c>
      <c r="BN76">
        <v>1844.4</v>
      </c>
      <c r="BO76">
        <v>295.11</v>
      </c>
      <c r="BP76">
        <v>73.77</v>
      </c>
      <c r="BQ76">
        <f t="shared" si="1"/>
        <v>2065.7400000000002</v>
      </c>
      <c r="BR76" t="s">
        <v>83</v>
      </c>
    </row>
    <row r="77" spans="1:70">
      <c r="A77" t="s">
        <v>575</v>
      </c>
      <c r="B77" t="s">
        <v>576</v>
      </c>
      <c r="C77" t="s">
        <v>71</v>
      </c>
      <c r="D77" t="s">
        <v>289</v>
      </c>
      <c r="E77" t="s">
        <v>73</v>
      </c>
      <c r="F77" t="s">
        <v>74</v>
      </c>
      <c r="G77">
        <v>240390</v>
      </c>
      <c r="H77" t="s">
        <v>74</v>
      </c>
      <c r="I77" t="s">
        <v>75</v>
      </c>
      <c r="J77" t="s">
        <v>74</v>
      </c>
      <c r="K77" t="s">
        <v>577</v>
      </c>
      <c r="L77" t="s">
        <v>77</v>
      </c>
      <c r="M77" t="s">
        <v>78</v>
      </c>
      <c r="N77" t="s">
        <v>83</v>
      </c>
      <c r="O77" t="s">
        <v>578</v>
      </c>
      <c r="P77" t="s">
        <v>96</v>
      </c>
      <c r="X77">
        <v>16</v>
      </c>
      <c r="AF77" t="s">
        <v>482</v>
      </c>
      <c r="AG77" t="s">
        <v>296</v>
      </c>
      <c r="AH77" t="s">
        <v>482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2.4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247.2</v>
      </c>
      <c r="BE77">
        <v>0</v>
      </c>
      <c r="BF77">
        <v>640</v>
      </c>
      <c r="BG77">
        <v>0</v>
      </c>
      <c r="BH77">
        <v>0</v>
      </c>
      <c r="BI77">
        <v>128</v>
      </c>
      <c r="BJ77">
        <v>0</v>
      </c>
      <c r="BK77">
        <v>0</v>
      </c>
      <c r="BL77">
        <v>0</v>
      </c>
      <c r="BM77">
        <v>0</v>
      </c>
      <c r="BN77">
        <v>1017.6</v>
      </c>
      <c r="BO77">
        <v>162.81</v>
      </c>
      <c r="BP77">
        <v>40.71</v>
      </c>
      <c r="BQ77">
        <f t="shared" si="1"/>
        <v>1139.7</v>
      </c>
      <c r="BR77" t="s">
        <v>83</v>
      </c>
    </row>
    <row r="78" spans="1:70">
      <c r="A78" t="s">
        <v>579</v>
      </c>
      <c r="B78" t="s">
        <v>580</v>
      </c>
      <c r="C78" t="s">
        <v>71</v>
      </c>
      <c r="D78" t="s">
        <v>289</v>
      </c>
      <c r="E78" t="s">
        <v>73</v>
      </c>
      <c r="F78" t="s">
        <v>74</v>
      </c>
      <c r="G78">
        <v>240389</v>
      </c>
      <c r="H78" t="s">
        <v>74</v>
      </c>
      <c r="I78" t="s">
        <v>75</v>
      </c>
      <c r="J78" t="s">
        <v>74</v>
      </c>
      <c r="K78" t="s">
        <v>581</v>
      </c>
      <c r="L78" t="s">
        <v>77</v>
      </c>
      <c r="M78" t="s">
        <v>78</v>
      </c>
      <c r="N78" t="s">
        <v>318</v>
      </c>
      <c r="O78" t="s">
        <v>582</v>
      </c>
      <c r="P78" t="s">
        <v>96</v>
      </c>
      <c r="X78">
        <v>12</v>
      </c>
      <c r="AF78" t="s">
        <v>379</v>
      </c>
      <c r="AG78" t="s">
        <v>296</v>
      </c>
      <c r="AH78" t="s">
        <v>379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1.8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554.28</v>
      </c>
      <c r="BE78">
        <v>0</v>
      </c>
      <c r="BF78">
        <v>480</v>
      </c>
      <c r="BG78">
        <v>0</v>
      </c>
      <c r="BH78">
        <v>0</v>
      </c>
      <c r="BI78">
        <v>96</v>
      </c>
      <c r="BJ78">
        <v>0</v>
      </c>
      <c r="BK78">
        <v>0</v>
      </c>
      <c r="BL78">
        <v>0</v>
      </c>
      <c r="BM78">
        <v>0</v>
      </c>
      <c r="BN78">
        <v>1132.08</v>
      </c>
      <c r="BO78">
        <v>181.13</v>
      </c>
      <c r="BP78">
        <v>45.28</v>
      </c>
      <c r="BQ78">
        <f t="shared" si="1"/>
        <v>1267.93</v>
      </c>
      <c r="BR78" t="s">
        <v>320</v>
      </c>
    </row>
    <row r="79" spans="1:70">
      <c r="A79" t="s">
        <v>583</v>
      </c>
      <c r="B79" t="s">
        <v>584</v>
      </c>
      <c r="C79" t="s">
        <v>71</v>
      </c>
      <c r="D79" t="s">
        <v>289</v>
      </c>
      <c r="E79" t="s">
        <v>73</v>
      </c>
      <c r="F79" t="s">
        <v>74</v>
      </c>
      <c r="G79">
        <v>240388</v>
      </c>
      <c r="H79" t="s">
        <v>74</v>
      </c>
      <c r="I79" t="s">
        <v>75</v>
      </c>
      <c r="K79" t="s">
        <v>585</v>
      </c>
      <c r="L79" t="s">
        <v>77</v>
      </c>
      <c r="M79" t="s">
        <v>78</v>
      </c>
      <c r="N79" t="s">
        <v>586</v>
      </c>
      <c r="O79" t="s">
        <v>587</v>
      </c>
      <c r="P79" t="s">
        <v>96</v>
      </c>
      <c r="X79">
        <v>23</v>
      </c>
      <c r="AF79" t="s">
        <v>428</v>
      </c>
      <c r="AG79" t="s">
        <v>296</v>
      </c>
      <c r="AH79" t="s">
        <v>428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3.45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1062.3699999999999</v>
      </c>
      <c r="BE79">
        <v>0</v>
      </c>
      <c r="BF79">
        <v>920</v>
      </c>
      <c r="BG79">
        <v>0</v>
      </c>
      <c r="BH79">
        <v>0</v>
      </c>
      <c r="BI79">
        <v>184</v>
      </c>
      <c r="BJ79">
        <v>0</v>
      </c>
      <c r="BK79">
        <v>0</v>
      </c>
      <c r="BL79">
        <v>0</v>
      </c>
      <c r="BM79">
        <v>0</v>
      </c>
      <c r="BN79">
        <v>2169.8200000000002</v>
      </c>
      <c r="BO79">
        <v>347.17</v>
      </c>
      <c r="BP79">
        <v>86.79</v>
      </c>
      <c r="BQ79">
        <f t="shared" si="1"/>
        <v>2430.2000000000003</v>
      </c>
      <c r="BR79" t="s">
        <v>586</v>
      </c>
    </row>
    <row r="80" spans="1:70">
      <c r="A80" t="s">
        <v>588</v>
      </c>
      <c r="B80" t="s">
        <v>589</v>
      </c>
      <c r="C80" t="s">
        <v>71</v>
      </c>
      <c r="D80" t="s">
        <v>289</v>
      </c>
      <c r="E80" t="s">
        <v>73</v>
      </c>
      <c r="F80" t="s">
        <v>74</v>
      </c>
      <c r="G80">
        <v>240387</v>
      </c>
      <c r="H80" t="s">
        <v>74</v>
      </c>
      <c r="I80" t="s">
        <v>75</v>
      </c>
      <c r="J80" t="s">
        <v>74</v>
      </c>
      <c r="K80" t="s">
        <v>590</v>
      </c>
      <c r="L80" t="s">
        <v>77</v>
      </c>
      <c r="M80" t="s">
        <v>78</v>
      </c>
      <c r="N80" t="s">
        <v>591</v>
      </c>
      <c r="O80" t="s">
        <v>592</v>
      </c>
      <c r="P80" t="s">
        <v>96</v>
      </c>
      <c r="X80">
        <v>30</v>
      </c>
      <c r="AF80" t="s">
        <v>593</v>
      </c>
      <c r="AG80" t="s">
        <v>296</v>
      </c>
      <c r="AH80" t="s">
        <v>593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4.5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1385.7</v>
      </c>
      <c r="BE80">
        <v>0</v>
      </c>
      <c r="BF80">
        <v>1200</v>
      </c>
      <c r="BG80">
        <v>0</v>
      </c>
      <c r="BH80">
        <v>0</v>
      </c>
      <c r="BI80">
        <v>240</v>
      </c>
      <c r="BJ80">
        <v>0</v>
      </c>
      <c r="BK80">
        <v>0</v>
      </c>
      <c r="BL80">
        <v>0</v>
      </c>
      <c r="BM80">
        <v>0</v>
      </c>
      <c r="BN80">
        <v>2830.2</v>
      </c>
      <c r="BO80">
        <v>452.83</v>
      </c>
      <c r="BP80">
        <v>113.21</v>
      </c>
      <c r="BQ80">
        <f t="shared" si="1"/>
        <v>3169.8199999999997</v>
      </c>
      <c r="BR80" t="s">
        <v>591</v>
      </c>
    </row>
    <row r="81" spans="1:70">
      <c r="A81" t="s">
        <v>594</v>
      </c>
      <c r="B81" t="s">
        <v>595</v>
      </c>
      <c r="C81" t="s">
        <v>71</v>
      </c>
      <c r="D81" t="s">
        <v>289</v>
      </c>
      <c r="E81" t="s">
        <v>73</v>
      </c>
      <c r="F81" t="s">
        <v>74</v>
      </c>
      <c r="G81">
        <v>240508</v>
      </c>
      <c r="H81" t="s">
        <v>74</v>
      </c>
      <c r="I81" t="s">
        <v>75</v>
      </c>
      <c r="K81" t="s">
        <v>596</v>
      </c>
      <c r="L81" t="s">
        <v>77</v>
      </c>
      <c r="M81" t="s">
        <v>78</v>
      </c>
      <c r="N81" t="s">
        <v>129</v>
      </c>
      <c r="O81" t="s">
        <v>597</v>
      </c>
      <c r="P81" t="s">
        <v>598</v>
      </c>
      <c r="X81">
        <v>13</v>
      </c>
      <c r="AF81" t="s">
        <v>434</v>
      </c>
      <c r="AG81" t="s">
        <v>296</v>
      </c>
      <c r="AH81" t="s">
        <v>434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1.95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200.85</v>
      </c>
      <c r="BE81">
        <v>0</v>
      </c>
      <c r="BF81">
        <v>520</v>
      </c>
      <c r="BG81">
        <v>0</v>
      </c>
      <c r="BH81">
        <v>0</v>
      </c>
      <c r="BI81">
        <v>104</v>
      </c>
      <c r="BJ81">
        <v>0</v>
      </c>
      <c r="BK81">
        <v>0</v>
      </c>
      <c r="BL81">
        <v>0</v>
      </c>
      <c r="BM81">
        <v>0</v>
      </c>
      <c r="BN81">
        <v>826.8</v>
      </c>
      <c r="BO81">
        <v>132.29</v>
      </c>
      <c r="BP81">
        <v>33.07</v>
      </c>
      <c r="BQ81">
        <f t="shared" si="1"/>
        <v>926.01999999999987</v>
      </c>
      <c r="BR81" t="s">
        <v>129</v>
      </c>
    </row>
    <row r="82" spans="1:70">
      <c r="A82" t="s">
        <v>599</v>
      </c>
      <c r="B82" t="s">
        <v>600</v>
      </c>
      <c r="C82" t="s">
        <v>71</v>
      </c>
      <c r="D82" t="s">
        <v>289</v>
      </c>
      <c r="E82" t="s">
        <v>73</v>
      </c>
      <c r="F82" t="s">
        <v>74</v>
      </c>
      <c r="G82">
        <v>240499</v>
      </c>
      <c r="I82" t="s">
        <v>75</v>
      </c>
      <c r="K82" t="s">
        <v>601</v>
      </c>
      <c r="L82" t="s">
        <v>77</v>
      </c>
      <c r="M82" t="s">
        <v>78</v>
      </c>
      <c r="N82" t="s">
        <v>324</v>
      </c>
      <c r="O82" t="s">
        <v>602</v>
      </c>
      <c r="P82" t="s">
        <v>598</v>
      </c>
      <c r="X82">
        <v>10</v>
      </c>
      <c r="AF82" t="s">
        <v>372</v>
      </c>
      <c r="AG82" t="s">
        <v>296</v>
      </c>
      <c r="AH82" t="s">
        <v>372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1.5</v>
      </c>
      <c r="AT82">
        <v>0</v>
      </c>
      <c r="AU82">
        <v>0</v>
      </c>
      <c r="AV82">
        <v>262.89999999999998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461.9</v>
      </c>
      <c r="BE82">
        <v>0</v>
      </c>
      <c r="BF82">
        <v>400</v>
      </c>
      <c r="BG82">
        <v>0</v>
      </c>
      <c r="BH82">
        <v>0</v>
      </c>
      <c r="BI82">
        <v>80</v>
      </c>
      <c r="BJ82">
        <v>0</v>
      </c>
      <c r="BK82">
        <v>0</v>
      </c>
      <c r="BL82">
        <v>0</v>
      </c>
      <c r="BM82">
        <v>0</v>
      </c>
      <c r="BN82">
        <v>1206.3</v>
      </c>
      <c r="BO82">
        <v>193</v>
      </c>
      <c r="BP82">
        <v>37.74</v>
      </c>
      <c r="BQ82">
        <f t="shared" si="1"/>
        <v>1361.56</v>
      </c>
      <c r="BR82" t="s">
        <v>324</v>
      </c>
    </row>
    <row r="83" spans="1:70">
      <c r="A83" t="s">
        <v>603</v>
      </c>
      <c r="B83" t="s">
        <v>604</v>
      </c>
      <c r="C83" t="s">
        <v>71</v>
      </c>
      <c r="D83" t="s">
        <v>289</v>
      </c>
      <c r="E83" t="s">
        <v>73</v>
      </c>
      <c r="F83" t="s">
        <v>74</v>
      </c>
      <c r="G83">
        <v>240540</v>
      </c>
      <c r="H83" t="s">
        <v>74</v>
      </c>
      <c r="I83" t="s">
        <v>75</v>
      </c>
      <c r="J83" t="s">
        <v>74</v>
      </c>
      <c r="K83" t="s">
        <v>605</v>
      </c>
      <c r="L83" t="s">
        <v>77</v>
      </c>
      <c r="M83" t="s">
        <v>78</v>
      </c>
      <c r="N83" t="s">
        <v>432</v>
      </c>
      <c r="O83" t="s">
        <v>606</v>
      </c>
      <c r="P83" t="s">
        <v>598</v>
      </c>
      <c r="AD83">
        <v>4</v>
      </c>
      <c r="AF83" t="s">
        <v>326</v>
      </c>
      <c r="AG83" t="s">
        <v>296</v>
      </c>
      <c r="AH83" t="s">
        <v>326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0.6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279.12</v>
      </c>
      <c r="BE83">
        <v>0</v>
      </c>
      <c r="BF83">
        <v>160</v>
      </c>
      <c r="BG83">
        <v>0</v>
      </c>
      <c r="BH83">
        <v>0</v>
      </c>
      <c r="BI83">
        <v>32</v>
      </c>
      <c r="BJ83">
        <v>0</v>
      </c>
      <c r="BK83">
        <v>0</v>
      </c>
      <c r="BL83">
        <v>0</v>
      </c>
      <c r="BM83">
        <v>0</v>
      </c>
      <c r="BN83">
        <v>471.72</v>
      </c>
      <c r="BO83">
        <v>75.48</v>
      </c>
      <c r="BP83">
        <v>18.86</v>
      </c>
      <c r="BQ83">
        <f t="shared" si="1"/>
        <v>528.34</v>
      </c>
      <c r="BR83" t="s">
        <v>432</v>
      </c>
    </row>
    <row r="84" spans="1:70">
      <c r="A84" t="s">
        <v>607</v>
      </c>
      <c r="B84" t="s">
        <v>608</v>
      </c>
      <c r="C84" t="s">
        <v>71</v>
      </c>
      <c r="D84" t="s">
        <v>289</v>
      </c>
      <c r="E84" t="s">
        <v>73</v>
      </c>
      <c r="F84" t="s">
        <v>74</v>
      </c>
      <c r="G84">
        <v>240539</v>
      </c>
      <c r="H84" t="s">
        <v>74</v>
      </c>
      <c r="I84" t="s">
        <v>75</v>
      </c>
      <c r="J84" t="s">
        <v>74</v>
      </c>
      <c r="K84" t="s">
        <v>609</v>
      </c>
      <c r="L84" t="s">
        <v>77</v>
      </c>
      <c r="M84" t="s">
        <v>78</v>
      </c>
      <c r="N84" t="s">
        <v>137</v>
      </c>
      <c r="O84" t="s">
        <v>610</v>
      </c>
      <c r="P84" t="s">
        <v>598</v>
      </c>
      <c r="AD84">
        <v>4</v>
      </c>
      <c r="AF84" t="s">
        <v>326</v>
      </c>
      <c r="AG84" t="s">
        <v>296</v>
      </c>
      <c r="AH84" t="s">
        <v>326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0.6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279.12</v>
      </c>
      <c r="BE84">
        <v>0</v>
      </c>
      <c r="BF84">
        <v>160</v>
      </c>
      <c r="BG84">
        <v>0</v>
      </c>
      <c r="BH84">
        <v>0</v>
      </c>
      <c r="BI84">
        <v>32</v>
      </c>
      <c r="BJ84">
        <v>0</v>
      </c>
      <c r="BK84">
        <v>0</v>
      </c>
      <c r="BL84">
        <v>0</v>
      </c>
      <c r="BM84">
        <v>0</v>
      </c>
      <c r="BN84">
        <v>471.72</v>
      </c>
      <c r="BO84">
        <v>75.48</v>
      </c>
      <c r="BP84">
        <v>18.86</v>
      </c>
      <c r="BQ84">
        <f t="shared" si="1"/>
        <v>528.34</v>
      </c>
      <c r="BR84" t="s">
        <v>141</v>
      </c>
    </row>
    <row r="85" spans="1:70">
      <c r="A85" t="s">
        <v>611</v>
      </c>
      <c r="B85" t="s">
        <v>612</v>
      </c>
      <c r="C85" t="s">
        <v>71</v>
      </c>
      <c r="D85" t="s">
        <v>289</v>
      </c>
      <c r="E85" t="s">
        <v>73</v>
      </c>
      <c r="F85" t="s">
        <v>74</v>
      </c>
      <c r="G85">
        <v>240538</v>
      </c>
      <c r="H85" t="s">
        <v>74</v>
      </c>
      <c r="I85" t="s">
        <v>75</v>
      </c>
      <c r="J85" t="s">
        <v>74</v>
      </c>
      <c r="K85" t="s">
        <v>613</v>
      </c>
      <c r="L85" t="s">
        <v>77</v>
      </c>
      <c r="M85" t="s">
        <v>78</v>
      </c>
      <c r="N85" t="s">
        <v>614</v>
      </c>
      <c r="O85" t="s">
        <v>615</v>
      </c>
      <c r="P85" t="s">
        <v>598</v>
      </c>
      <c r="AB85">
        <v>3</v>
      </c>
      <c r="AF85" t="s">
        <v>314</v>
      </c>
      <c r="AG85" t="s">
        <v>296</v>
      </c>
      <c r="AH85" t="s">
        <v>314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0.45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327.24</v>
      </c>
      <c r="BE85">
        <v>0</v>
      </c>
      <c r="BF85">
        <v>120</v>
      </c>
      <c r="BG85">
        <v>0</v>
      </c>
      <c r="BH85">
        <v>0</v>
      </c>
      <c r="BI85">
        <v>24</v>
      </c>
      <c r="BJ85">
        <v>0</v>
      </c>
      <c r="BK85">
        <v>0</v>
      </c>
      <c r="BL85">
        <v>0</v>
      </c>
      <c r="BM85">
        <v>0</v>
      </c>
      <c r="BN85">
        <v>471.69</v>
      </c>
      <c r="BO85">
        <v>75.47</v>
      </c>
      <c r="BP85">
        <v>18.87</v>
      </c>
      <c r="BQ85">
        <f t="shared" si="1"/>
        <v>528.29</v>
      </c>
      <c r="BR85" t="s">
        <v>616</v>
      </c>
    </row>
    <row r="86" spans="1:70">
      <c r="A86" t="s">
        <v>617</v>
      </c>
      <c r="B86" t="s">
        <v>618</v>
      </c>
      <c r="C86" t="s">
        <v>71</v>
      </c>
      <c r="D86" t="s">
        <v>289</v>
      </c>
      <c r="E86" t="s">
        <v>73</v>
      </c>
      <c r="F86" t="s">
        <v>74</v>
      </c>
      <c r="G86">
        <v>240512</v>
      </c>
      <c r="H86" t="s">
        <v>74</v>
      </c>
      <c r="I86" t="s">
        <v>75</v>
      </c>
      <c r="J86" t="s">
        <v>74</v>
      </c>
      <c r="K86" t="s">
        <v>619</v>
      </c>
      <c r="L86" t="s">
        <v>77</v>
      </c>
      <c r="M86" t="s">
        <v>78</v>
      </c>
      <c r="N86" t="s">
        <v>620</v>
      </c>
      <c r="O86" t="s">
        <v>621</v>
      </c>
      <c r="P86" t="s">
        <v>598</v>
      </c>
      <c r="AD86">
        <v>4</v>
      </c>
      <c r="AF86" t="s">
        <v>326</v>
      </c>
      <c r="AG86" t="s">
        <v>296</v>
      </c>
      <c r="AH86" t="s">
        <v>326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0.6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231.4</v>
      </c>
      <c r="BE86">
        <v>0</v>
      </c>
      <c r="BF86">
        <v>160</v>
      </c>
      <c r="BG86">
        <v>0</v>
      </c>
      <c r="BH86">
        <v>0</v>
      </c>
      <c r="BI86">
        <v>32</v>
      </c>
      <c r="BJ86">
        <v>0</v>
      </c>
      <c r="BK86">
        <v>0</v>
      </c>
      <c r="BL86">
        <v>0</v>
      </c>
      <c r="BM86">
        <v>0</v>
      </c>
      <c r="BN86">
        <v>424</v>
      </c>
      <c r="BO86">
        <v>67.84</v>
      </c>
      <c r="BP86">
        <v>16.96</v>
      </c>
      <c r="BQ86">
        <f t="shared" si="1"/>
        <v>474.88000000000005</v>
      </c>
      <c r="BR86" t="s">
        <v>83</v>
      </c>
    </row>
    <row r="87" spans="1:70">
      <c r="A87" t="s">
        <v>622</v>
      </c>
      <c r="B87" t="s">
        <v>623</v>
      </c>
      <c r="C87" t="s">
        <v>71</v>
      </c>
      <c r="D87" t="s">
        <v>289</v>
      </c>
      <c r="E87" t="s">
        <v>73</v>
      </c>
      <c r="F87" t="s">
        <v>74</v>
      </c>
      <c r="G87">
        <v>240518</v>
      </c>
      <c r="H87" t="s">
        <v>74</v>
      </c>
      <c r="I87" t="s">
        <v>75</v>
      </c>
      <c r="J87" t="s">
        <v>74</v>
      </c>
      <c r="K87" t="s">
        <v>624</v>
      </c>
      <c r="L87" t="s">
        <v>77</v>
      </c>
      <c r="M87" t="s">
        <v>78</v>
      </c>
      <c r="N87" t="s">
        <v>343</v>
      </c>
      <c r="O87" t="s">
        <v>625</v>
      </c>
      <c r="P87" t="s">
        <v>598</v>
      </c>
      <c r="X87">
        <v>9</v>
      </c>
      <c r="AF87" t="s">
        <v>407</v>
      </c>
      <c r="AG87" t="s">
        <v>296</v>
      </c>
      <c r="AH87" t="s">
        <v>407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1.35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139.05000000000001</v>
      </c>
      <c r="BE87">
        <v>0</v>
      </c>
      <c r="BF87">
        <v>360</v>
      </c>
      <c r="BG87">
        <v>0</v>
      </c>
      <c r="BH87">
        <v>0</v>
      </c>
      <c r="BI87">
        <v>72</v>
      </c>
      <c r="BJ87">
        <v>0</v>
      </c>
      <c r="BK87">
        <v>0</v>
      </c>
      <c r="BL87">
        <v>0</v>
      </c>
      <c r="BM87">
        <v>0</v>
      </c>
      <c r="BN87">
        <v>572.4</v>
      </c>
      <c r="BO87">
        <v>91.59</v>
      </c>
      <c r="BP87">
        <v>22.89</v>
      </c>
      <c r="BQ87">
        <f t="shared" si="1"/>
        <v>641.1</v>
      </c>
      <c r="BR87" t="s">
        <v>343</v>
      </c>
    </row>
    <row r="88" spans="1:70">
      <c r="A88" t="s">
        <v>626</v>
      </c>
      <c r="B88" t="s">
        <v>627</v>
      </c>
      <c r="C88" t="s">
        <v>71</v>
      </c>
      <c r="D88" t="s">
        <v>289</v>
      </c>
      <c r="E88" t="s">
        <v>73</v>
      </c>
      <c r="F88" t="s">
        <v>74</v>
      </c>
      <c r="G88">
        <v>240514</v>
      </c>
      <c r="H88" t="s">
        <v>74</v>
      </c>
      <c r="I88" t="s">
        <v>75</v>
      </c>
      <c r="J88" t="s">
        <v>74</v>
      </c>
      <c r="K88" t="s">
        <v>628</v>
      </c>
      <c r="L88" t="s">
        <v>77</v>
      </c>
      <c r="M88" t="s">
        <v>78</v>
      </c>
      <c r="N88" t="s">
        <v>558</v>
      </c>
      <c r="O88" t="s">
        <v>629</v>
      </c>
      <c r="P88" t="s">
        <v>598</v>
      </c>
      <c r="X88">
        <v>10</v>
      </c>
      <c r="AF88" t="s">
        <v>372</v>
      </c>
      <c r="AG88" t="s">
        <v>296</v>
      </c>
      <c r="AH88" t="s">
        <v>372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1.5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461.9</v>
      </c>
      <c r="BE88">
        <v>0</v>
      </c>
      <c r="BF88">
        <v>400</v>
      </c>
      <c r="BG88">
        <v>0</v>
      </c>
      <c r="BH88">
        <v>0</v>
      </c>
      <c r="BI88">
        <v>80</v>
      </c>
      <c r="BJ88">
        <v>0</v>
      </c>
      <c r="BK88">
        <v>0</v>
      </c>
      <c r="BL88">
        <v>0</v>
      </c>
      <c r="BM88">
        <v>0</v>
      </c>
      <c r="BN88">
        <v>943.4</v>
      </c>
      <c r="BO88">
        <v>150.94</v>
      </c>
      <c r="BP88">
        <v>37.74</v>
      </c>
      <c r="BQ88">
        <f t="shared" si="1"/>
        <v>1056.5999999999999</v>
      </c>
      <c r="BR88" t="s">
        <v>560</v>
      </c>
    </row>
    <row r="89" spans="1:70">
      <c r="A89" t="s">
        <v>630</v>
      </c>
      <c r="B89" t="s">
        <v>631</v>
      </c>
      <c r="C89" t="s">
        <v>71</v>
      </c>
      <c r="D89" t="s">
        <v>289</v>
      </c>
      <c r="E89" t="s">
        <v>73</v>
      </c>
      <c r="F89" t="s">
        <v>74</v>
      </c>
      <c r="G89">
        <v>240510</v>
      </c>
      <c r="H89" t="s">
        <v>74</v>
      </c>
      <c r="I89" t="s">
        <v>75</v>
      </c>
      <c r="J89" t="s">
        <v>74</v>
      </c>
      <c r="K89" t="s">
        <v>632</v>
      </c>
      <c r="L89" t="s">
        <v>77</v>
      </c>
      <c r="M89" t="s">
        <v>78</v>
      </c>
      <c r="N89" t="s">
        <v>558</v>
      </c>
      <c r="O89" t="s">
        <v>633</v>
      </c>
      <c r="P89" t="s">
        <v>598</v>
      </c>
      <c r="X89">
        <v>14</v>
      </c>
      <c r="AF89" t="s">
        <v>413</v>
      </c>
      <c r="AG89" t="s">
        <v>296</v>
      </c>
      <c r="AH89" t="s">
        <v>413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2.1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646.66</v>
      </c>
      <c r="BE89">
        <v>0</v>
      </c>
      <c r="BF89">
        <v>560</v>
      </c>
      <c r="BG89">
        <v>0</v>
      </c>
      <c r="BH89">
        <v>0</v>
      </c>
      <c r="BI89">
        <v>112</v>
      </c>
      <c r="BJ89">
        <v>0</v>
      </c>
      <c r="BK89">
        <v>0</v>
      </c>
      <c r="BL89">
        <v>0</v>
      </c>
      <c r="BM89">
        <v>0</v>
      </c>
      <c r="BN89">
        <v>1320.76</v>
      </c>
      <c r="BO89">
        <v>211.33</v>
      </c>
      <c r="BP89">
        <v>52.83</v>
      </c>
      <c r="BQ89">
        <f t="shared" si="1"/>
        <v>1479.26</v>
      </c>
      <c r="BR89" t="s">
        <v>560</v>
      </c>
    </row>
    <row r="90" spans="1:70">
      <c r="A90" t="s">
        <v>634</v>
      </c>
      <c r="B90" t="s">
        <v>635</v>
      </c>
      <c r="C90" t="s">
        <v>71</v>
      </c>
      <c r="D90" t="s">
        <v>289</v>
      </c>
      <c r="E90" t="s">
        <v>73</v>
      </c>
      <c r="F90" t="s">
        <v>74</v>
      </c>
      <c r="G90">
        <v>240476</v>
      </c>
      <c r="H90" t="s">
        <v>74</v>
      </c>
      <c r="I90" t="s">
        <v>75</v>
      </c>
      <c r="J90" t="s">
        <v>74</v>
      </c>
      <c r="K90" t="s">
        <v>636</v>
      </c>
      <c r="L90" t="s">
        <v>77</v>
      </c>
      <c r="M90" t="s">
        <v>78</v>
      </c>
      <c r="N90" t="s">
        <v>637</v>
      </c>
      <c r="O90" t="s">
        <v>638</v>
      </c>
      <c r="P90" t="s">
        <v>598</v>
      </c>
      <c r="X90">
        <v>17</v>
      </c>
      <c r="AF90" t="s">
        <v>464</v>
      </c>
      <c r="AG90" t="s">
        <v>296</v>
      </c>
      <c r="AH90" t="s">
        <v>464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2.5499999999999998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785.23</v>
      </c>
      <c r="BE90">
        <v>0</v>
      </c>
      <c r="BF90">
        <v>680</v>
      </c>
      <c r="BG90">
        <v>0</v>
      </c>
      <c r="BH90">
        <v>0</v>
      </c>
      <c r="BI90">
        <v>136</v>
      </c>
      <c r="BJ90">
        <v>0</v>
      </c>
      <c r="BK90">
        <v>0</v>
      </c>
      <c r="BL90">
        <v>0</v>
      </c>
      <c r="BM90">
        <v>0</v>
      </c>
      <c r="BN90">
        <v>1603.78</v>
      </c>
      <c r="BO90">
        <v>256.61</v>
      </c>
      <c r="BP90">
        <v>64.150000000000006</v>
      </c>
      <c r="BQ90">
        <f t="shared" si="1"/>
        <v>1796.2399999999998</v>
      </c>
      <c r="BR90" t="s">
        <v>639</v>
      </c>
    </row>
    <row r="91" spans="1:70">
      <c r="A91" t="s">
        <v>640</v>
      </c>
      <c r="B91" t="s">
        <v>641</v>
      </c>
      <c r="C91" t="s">
        <v>71</v>
      </c>
      <c r="D91" t="s">
        <v>289</v>
      </c>
      <c r="E91" t="s">
        <v>73</v>
      </c>
      <c r="F91" t="s">
        <v>74</v>
      </c>
      <c r="G91">
        <v>240545</v>
      </c>
      <c r="H91" t="s">
        <v>74</v>
      </c>
      <c r="I91" t="s">
        <v>75</v>
      </c>
      <c r="J91" t="s">
        <v>74</v>
      </c>
      <c r="K91" t="s">
        <v>642</v>
      </c>
      <c r="L91" t="s">
        <v>77</v>
      </c>
      <c r="M91" t="s">
        <v>78</v>
      </c>
      <c r="N91" t="s">
        <v>438</v>
      </c>
      <c r="O91" t="s">
        <v>643</v>
      </c>
      <c r="P91" t="s">
        <v>598</v>
      </c>
      <c r="X91">
        <v>10</v>
      </c>
      <c r="AF91" t="s">
        <v>372</v>
      </c>
      <c r="AG91" t="s">
        <v>296</v>
      </c>
      <c r="AH91" t="s">
        <v>372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1.5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154.5</v>
      </c>
      <c r="BE91">
        <v>0</v>
      </c>
      <c r="BF91">
        <v>400</v>
      </c>
      <c r="BG91">
        <v>0</v>
      </c>
      <c r="BH91">
        <v>0</v>
      </c>
      <c r="BI91">
        <v>80</v>
      </c>
      <c r="BJ91">
        <v>0</v>
      </c>
      <c r="BK91">
        <v>0</v>
      </c>
      <c r="BL91">
        <v>0</v>
      </c>
      <c r="BM91">
        <v>0</v>
      </c>
      <c r="BN91">
        <v>636</v>
      </c>
      <c r="BO91">
        <v>101.76</v>
      </c>
      <c r="BP91">
        <v>25.44</v>
      </c>
      <c r="BQ91">
        <f t="shared" si="1"/>
        <v>712.31999999999994</v>
      </c>
      <c r="BR91" t="s">
        <v>440</v>
      </c>
    </row>
    <row r="92" spans="1:70">
      <c r="A92" t="s">
        <v>644</v>
      </c>
      <c r="B92" t="s">
        <v>645</v>
      </c>
      <c r="C92" t="s">
        <v>71</v>
      </c>
      <c r="D92" t="s">
        <v>289</v>
      </c>
      <c r="E92" t="s">
        <v>73</v>
      </c>
      <c r="F92" t="s">
        <v>74</v>
      </c>
      <c r="G92">
        <v>240532</v>
      </c>
      <c r="H92" t="s">
        <v>74</v>
      </c>
      <c r="I92" t="s">
        <v>75</v>
      </c>
      <c r="J92" t="s">
        <v>74</v>
      </c>
      <c r="K92" t="s">
        <v>646</v>
      </c>
      <c r="L92" t="s">
        <v>77</v>
      </c>
      <c r="M92" t="s">
        <v>78</v>
      </c>
      <c r="N92" t="s">
        <v>647</v>
      </c>
      <c r="O92" t="s">
        <v>648</v>
      </c>
      <c r="P92" t="s">
        <v>598</v>
      </c>
      <c r="AD92">
        <v>4</v>
      </c>
      <c r="AF92" t="s">
        <v>326</v>
      </c>
      <c r="AG92" t="s">
        <v>296</v>
      </c>
      <c r="AH92" t="s">
        <v>326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0.6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231.4</v>
      </c>
      <c r="BE92">
        <v>0</v>
      </c>
      <c r="BF92">
        <v>160</v>
      </c>
      <c r="BG92">
        <v>0</v>
      </c>
      <c r="BH92">
        <v>0</v>
      </c>
      <c r="BI92">
        <v>32</v>
      </c>
      <c r="BJ92">
        <v>0</v>
      </c>
      <c r="BK92">
        <v>0</v>
      </c>
      <c r="BL92">
        <v>0</v>
      </c>
      <c r="BM92">
        <v>0</v>
      </c>
      <c r="BN92">
        <v>424</v>
      </c>
      <c r="BO92">
        <v>67.84</v>
      </c>
      <c r="BP92">
        <v>16.96</v>
      </c>
      <c r="BQ92">
        <f t="shared" si="1"/>
        <v>474.88000000000005</v>
      </c>
      <c r="BR92" t="s">
        <v>649</v>
      </c>
    </row>
    <row r="93" spans="1:70">
      <c r="A93" t="s">
        <v>650</v>
      </c>
      <c r="B93" t="s">
        <v>651</v>
      </c>
      <c r="C93" t="s">
        <v>71</v>
      </c>
      <c r="D93" t="s">
        <v>289</v>
      </c>
      <c r="E93" t="s">
        <v>73</v>
      </c>
      <c r="F93" t="s">
        <v>74</v>
      </c>
      <c r="G93">
        <v>240519</v>
      </c>
      <c r="H93" t="s">
        <v>74</v>
      </c>
      <c r="I93" t="s">
        <v>75</v>
      </c>
      <c r="J93" t="s">
        <v>74</v>
      </c>
      <c r="K93" t="s">
        <v>652</v>
      </c>
      <c r="L93" t="s">
        <v>77</v>
      </c>
      <c r="M93" t="s">
        <v>78</v>
      </c>
      <c r="N93" t="s">
        <v>653</v>
      </c>
      <c r="O93" t="s">
        <v>654</v>
      </c>
      <c r="P93" t="s">
        <v>598</v>
      </c>
      <c r="AB93">
        <v>3</v>
      </c>
      <c r="AF93" t="s">
        <v>314</v>
      </c>
      <c r="AG93" t="s">
        <v>296</v>
      </c>
      <c r="AH93" t="s">
        <v>314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0.45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279.54000000000002</v>
      </c>
      <c r="BE93">
        <v>0</v>
      </c>
      <c r="BF93">
        <v>120</v>
      </c>
      <c r="BG93">
        <v>0</v>
      </c>
      <c r="BH93">
        <v>0</v>
      </c>
      <c r="BI93">
        <v>24</v>
      </c>
      <c r="BJ93">
        <v>0</v>
      </c>
      <c r="BK93">
        <v>0</v>
      </c>
      <c r="BL93">
        <v>0</v>
      </c>
      <c r="BM93">
        <v>0</v>
      </c>
      <c r="BN93">
        <v>423.99</v>
      </c>
      <c r="BO93">
        <v>67.84</v>
      </c>
      <c r="BP93">
        <v>16.96</v>
      </c>
      <c r="BQ93">
        <f t="shared" si="1"/>
        <v>474.87000000000006</v>
      </c>
      <c r="BR93" t="s">
        <v>119</v>
      </c>
    </row>
    <row r="94" spans="1:70">
      <c r="A94" t="s">
        <v>655</v>
      </c>
      <c r="B94" t="s">
        <v>656</v>
      </c>
      <c r="C94" t="s">
        <v>71</v>
      </c>
      <c r="D94" t="s">
        <v>289</v>
      </c>
      <c r="E94" t="s">
        <v>73</v>
      </c>
      <c r="F94" t="s">
        <v>74</v>
      </c>
      <c r="G94">
        <v>240490</v>
      </c>
      <c r="H94" t="s">
        <v>74</v>
      </c>
      <c r="I94" t="s">
        <v>75</v>
      </c>
      <c r="J94" t="s">
        <v>74</v>
      </c>
      <c r="K94" t="s">
        <v>657</v>
      </c>
      <c r="L94" t="s">
        <v>77</v>
      </c>
      <c r="M94" t="s">
        <v>78</v>
      </c>
      <c r="N94" t="s">
        <v>343</v>
      </c>
      <c r="O94" t="s">
        <v>658</v>
      </c>
      <c r="P94" t="s">
        <v>598</v>
      </c>
      <c r="X94">
        <v>9</v>
      </c>
      <c r="AF94" t="s">
        <v>407</v>
      </c>
      <c r="AG94" t="s">
        <v>296</v>
      </c>
      <c r="AH94" t="s">
        <v>407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1.35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139.05000000000001</v>
      </c>
      <c r="BE94">
        <v>0</v>
      </c>
      <c r="BF94">
        <v>360</v>
      </c>
      <c r="BG94">
        <v>0</v>
      </c>
      <c r="BH94">
        <v>0</v>
      </c>
      <c r="BI94">
        <v>72</v>
      </c>
      <c r="BJ94">
        <v>0</v>
      </c>
      <c r="BK94">
        <v>0</v>
      </c>
      <c r="BL94">
        <v>0</v>
      </c>
      <c r="BM94">
        <v>0</v>
      </c>
      <c r="BN94">
        <v>572.4</v>
      </c>
      <c r="BO94">
        <v>91.59</v>
      </c>
      <c r="BP94">
        <v>22.89</v>
      </c>
      <c r="BQ94">
        <f t="shared" si="1"/>
        <v>641.1</v>
      </c>
      <c r="BR94" t="s">
        <v>343</v>
      </c>
    </row>
    <row r="95" spans="1:70">
      <c r="A95" t="s">
        <v>659</v>
      </c>
      <c r="B95" t="s">
        <v>660</v>
      </c>
      <c r="C95" t="s">
        <v>71</v>
      </c>
      <c r="D95" t="s">
        <v>289</v>
      </c>
      <c r="E95" t="s">
        <v>73</v>
      </c>
      <c r="F95" t="s">
        <v>74</v>
      </c>
      <c r="G95">
        <v>240484</v>
      </c>
      <c r="H95" t="s">
        <v>74</v>
      </c>
      <c r="I95" t="s">
        <v>75</v>
      </c>
      <c r="J95" t="s">
        <v>74</v>
      </c>
      <c r="K95" t="s">
        <v>661</v>
      </c>
      <c r="L95" t="s">
        <v>77</v>
      </c>
      <c r="M95" t="s">
        <v>78</v>
      </c>
      <c r="N95" t="s">
        <v>653</v>
      </c>
      <c r="O95" t="s">
        <v>654</v>
      </c>
      <c r="P95" t="s">
        <v>598</v>
      </c>
      <c r="X95">
        <v>34</v>
      </c>
      <c r="AF95" t="s">
        <v>662</v>
      </c>
      <c r="AG95" t="s">
        <v>296</v>
      </c>
      <c r="AH95" t="s">
        <v>662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5.0999999999999996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525.29999999999995</v>
      </c>
      <c r="BE95">
        <v>0</v>
      </c>
      <c r="BF95">
        <v>1360</v>
      </c>
      <c r="BG95">
        <v>0</v>
      </c>
      <c r="BH95">
        <v>0</v>
      </c>
      <c r="BI95">
        <v>272</v>
      </c>
      <c r="BJ95">
        <v>0</v>
      </c>
      <c r="BK95">
        <v>0</v>
      </c>
      <c r="BL95">
        <v>0</v>
      </c>
      <c r="BM95">
        <v>0</v>
      </c>
      <c r="BN95">
        <v>2162.4</v>
      </c>
      <c r="BO95">
        <v>345.99</v>
      </c>
      <c r="BP95">
        <v>86.49</v>
      </c>
      <c r="BQ95">
        <f t="shared" si="1"/>
        <v>2421.9000000000005</v>
      </c>
      <c r="BR95" t="s">
        <v>119</v>
      </c>
    </row>
    <row r="96" spans="1:70">
      <c r="A96" t="s">
        <v>663</v>
      </c>
      <c r="B96" t="s">
        <v>664</v>
      </c>
      <c r="C96" t="s">
        <v>71</v>
      </c>
      <c r="D96" t="s">
        <v>289</v>
      </c>
      <c r="E96" t="s">
        <v>73</v>
      </c>
      <c r="F96" t="s">
        <v>74</v>
      </c>
      <c r="G96">
        <v>240544</v>
      </c>
      <c r="H96" t="s">
        <v>74</v>
      </c>
      <c r="I96" t="s">
        <v>75</v>
      </c>
      <c r="J96" t="s">
        <v>74</v>
      </c>
      <c r="K96" t="s">
        <v>665</v>
      </c>
      <c r="L96" t="s">
        <v>77</v>
      </c>
      <c r="M96" t="s">
        <v>78</v>
      </c>
      <c r="N96" t="s">
        <v>406</v>
      </c>
      <c r="O96" t="s">
        <v>666</v>
      </c>
      <c r="P96" t="s">
        <v>598</v>
      </c>
      <c r="AD96">
        <v>4</v>
      </c>
      <c r="AF96" t="s">
        <v>326</v>
      </c>
      <c r="AG96" t="s">
        <v>296</v>
      </c>
      <c r="AH96" t="s">
        <v>326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0.6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231.4</v>
      </c>
      <c r="BE96">
        <v>0</v>
      </c>
      <c r="BF96">
        <v>160</v>
      </c>
      <c r="BG96">
        <v>0</v>
      </c>
      <c r="BH96">
        <v>0</v>
      </c>
      <c r="BI96">
        <v>32</v>
      </c>
      <c r="BJ96">
        <v>0</v>
      </c>
      <c r="BK96">
        <v>0</v>
      </c>
      <c r="BL96">
        <v>0</v>
      </c>
      <c r="BM96">
        <v>0</v>
      </c>
      <c r="BN96">
        <v>424</v>
      </c>
      <c r="BO96">
        <v>67.84</v>
      </c>
      <c r="BP96">
        <v>16.96</v>
      </c>
      <c r="BQ96">
        <f t="shared" si="1"/>
        <v>474.88000000000005</v>
      </c>
      <c r="BR96" t="s">
        <v>406</v>
      </c>
    </row>
    <row r="97" spans="1:70">
      <c r="A97" t="s">
        <v>667</v>
      </c>
      <c r="B97" t="s">
        <v>668</v>
      </c>
      <c r="C97" t="s">
        <v>71</v>
      </c>
      <c r="D97" t="s">
        <v>289</v>
      </c>
      <c r="E97" t="s">
        <v>73</v>
      </c>
      <c r="F97" t="s">
        <v>74</v>
      </c>
      <c r="G97">
        <v>240513</v>
      </c>
      <c r="H97" t="s">
        <v>74</v>
      </c>
      <c r="I97" t="s">
        <v>75</v>
      </c>
      <c r="J97" t="s">
        <v>74</v>
      </c>
      <c r="K97" t="s">
        <v>669</v>
      </c>
      <c r="L97" t="s">
        <v>77</v>
      </c>
      <c r="M97" t="s">
        <v>78</v>
      </c>
      <c r="N97" t="s">
        <v>175</v>
      </c>
      <c r="O97" t="s">
        <v>670</v>
      </c>
      <c r="P97" t="s">
        <v>598</v>
      </c>
      <c r="Z97">
        <v>2</v>
      </c>
      <c r="AF97" t="s">
        <v>339</v>
      </c>
      <c r="AG97" t="s">
        <v>296</v>
      </c>
      <c r="AH97" t="s">
        <v>339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0.3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375.4</v>
      </c>
      <c r="BE97">
        <v>0</v>
      </c>
      <c r="BF97">
        <v>80</v>
      </c>
      <c r="BG97">
        <v>0</v>
      </c>
      <c r="BH97">
        <v>0</v>
      </c>
      <c r="BI97">
        <v>16</v>
      </c>
      <c r="BJ97">
        <v>0</v>
      </c>
      <c r="BK97">
        <v>0</v>
      </c>
      <c r="BL97">
        <v>0</v>
      </c>
      <c r="BM97">
        <v>0</v>
      </c>
      <c r="BN97">
        <v>471.7</v>
      </c>
      <c r="BO97">
        <v>75.47</v>
      </c>
      <c r="BP97">
        <v>18.87</v>
      </c>
      <c r="BQ97">
        <f t="shared" si="1"/>
        <v>528.29999999999995</v>
      </c>
      <c r="BR97" t="s">
        <v>175</v>
      </c>
    </row>
    <row r="98" spans="1:70">
      <c r="A98" t="s">
        <v>671</v>
      </c>
      <c r="B98" t="s">
        <v>672</v>
      </c>
      <c r="C98" t="s">
        <v>71</v>
      </c>
      <c r="D98" t="s">
        <v>289</v>
      </c>
      <c r="E98" t="s">
        <v>73</v>
      </c>
      <c r="F98" t="s">
        <v>74</v>
      </c>
      <c r="G98">
        <v>240536</v>
      </c>
      <c r="H98" t="s">
        <v>74</v>
      </c>
      <c r="I98" t="s">
        <v>75</v>
      </c>
      <c r="J98" t="s">
        <v>74</v>
      </c>
      <c r="K98" t="s">
        <v>673</v>
      </c>
      <c r="L98" t="s">
        <v>77</v>
      </c>
      <c r="M98" t="s">
        <v>78</v>
      </c>
      <c r="N98" t="s">
        <v>674</v>
      </c>
      <c r="O98" t="s">
        <v>675</v>
      </c>
      <c r="P98" t="s">
        <v>598</v>
      </c>
      <c r="V98">
        <v>1</v>
      </c>
      <c r="AF98" t="s">
        <v>295</v>
      </c>
      <c r="AG98" t="s">
        <v>296</v>
      </c>
      <c r="AH98" t="s">
        <v>295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0.15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375.85</v>
      </c>
      <c r="BE98">
        <v>0</v>
      </c>
      <c r="BF98">
        <v>40</v>
      </c>
      <c r="BG98">
        <v>0</v>
      </c>
      <c r="BH98">
        <v>0</v>
      </c>
      <c r="BI98">
        <v>8</v>
      </c>
      <c r="BJ98">
        <v>0</v>
      </c>
      <c r="BK98">
        <v>0</v>
      </c>
      <c r="BL98">
        <v>0</v>
      </c>
      <c r="BM98">
        <v>0</v>
      </c>
      <c r="BN98">
        <v>424</v>
      </c>
      <c r="BO98">
        <v>67.84</v>
      </c>
      <c r="BP98">
        <v>16.96</v>
      </c>
      <c r="BQ98">
        <f t="shared" si="1"/>
        <v>474.88000000000005</v>
      </c>
      <c r="BR98" t="s">
        <v>674</v>
      </c>
    </row>
    <row r="99" spans="1:70">
      <c r="A99" t="s">
        <v>676</v>
      </c>
      <c r="B99" t="s">
        <v>677</v>
      </c>
      <c r="C99" t="s">
        <v>71</v>
      </c>
      <c r="D99" t="s">
        <v>289</v>
      </c>
      <c r="E99" t="s">
        <v>73</v>
      </c>
      <c r="F99" t="s">
        <v>74</v>
      </c>
      <c r="G99">
        <v>240543</v>
      </c>
      <c r="H99" t="s">
        <v>74</v>
      </c>
      <c r="I99" t="s">
        <v>75</v>
      </c>
      <c r="J99" t="s">
        <v>74</v>
      </c>
      <c r="K99" t="s">
        <v>678</v>
      </c>
      <c r="L99" t="s">
        <v>77</v>
      </c>
      <c r="M99" t="s">
        <v>78</v>
      </c>
      <c r="N99" t="s">
        <v>591</v>
      </c>
      <c r="O99" t="s">
        <v>679</v>
      </c>
      <c r="P99" t="s">
        <v>598</v>
      </c>
      <c r="X99">
        <v>20</v>
      </c>
      <c r="AF99" t="s">
        <v>384</v>
      </c>
      <c r="AG99" t="s">
        <v>296</v>
      </c>
      <c r="AH99" t="s">
        <v>384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3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923.8</v>
      </c>
      <c r="BE99">
        <v>0</v>
      </c>
      <c r="BF99">
        <v>800</v>
      </c>
      <c r="BG99">
        <v>0</v>
      </c>
      <c r="BH99">
        <v>0</v>
      </c>
      <c r="BI99">
        <v>160</v>
      </c>
      <c r="BJ99">
        <v>0</v>
      </c>
      <c r="BK99">
        <v>0</v>
      </c>
      <c r="BL99">
        <v>0</v>
      </c>
      <c r="BM99">
        <v>0</v>
      </c>
      <c r="BN99">
        <v>1886.8</v>
      </c>
      <c r="BO99">
        <v>301.89</v>
      </c>
      <c r="BP99">
        <v>75.47</v>
      </c>
      <c r="BQ99">
        <f t="shared" si="1"/>
        <v>2113.2200000000003</v>
      </c>
      <c r="BR99" t="s">
        <v>591</v>
      </c>
    </row>
    <row r="100" spans="1:70">
      <c r="A100" t="s">
        <v>680</v>
      </c>
      <c r="B100" t="s">
        <v>681</v>
      </c>
      <c r="C100" t="s">
        <v>71</v>
      </c>
      <c r="D100" t="s">
        <v>289</v>
      </c>
      <c r="E100" t="s">
        <v>73</v>
      </c>
      <c r="F100" t="s">
        <v>74</v>
      </c>
      <c r="G100">
        <v>240542</v>
      </c>
      <c r="H100" t="s">
        <v>74</v>
      </c>
      <c r="I100" t="s">
        <v>75</v>
      </c>
      <c r="J100" t="s">
        <v>74</v>
      </c>
      <c r="K100" t="s">
        <v>682</v>
      </c>
      <c r="L100" t="s">
        <v>77</v>
      </c>
      <c r="M100" t="s">
        <v>78</v>
      </c>
      <c r="N100" t="s">
        <v>343</v>
      </c>
      <c r="O100" t="s">
        <v>683</v>
      </c>
      <c r="P100" t="s">
        <v>598</v>
      </c>
      <c r="X100">
        <v>21</v>
      </c>
      <c r="AF100" t="s">
        <v>684</v>
      </c>
      <c r="AG100" t="s">
        <v>296</v>
      </c>
      <c r="AH100" t="s">
        <v>684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3.15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324.45</v>
      </c>
      <c r="BE100">
        <v>0</v>
      </c>
      <c r="BF100">
        <v>840</v>
      </c>
      <c r="BG100">
        <v>0</v>
      </c>
      <c r="BH100">
        <v>0</v>
      </c>
      <c r="BI100">
        <v>168</v>
      </c>
      <c r="BJ100">
        <v>0</v>
      </c>
      <c r="BK100">
        <v>0</v>
      </c>
      <c r="BL100">
        <v>0</v>
      </c>
      <c r="BM100">
        <v>0</v>
      </c>
      <c r="BN100">
        <v>1335.6</v>
      </c>
      <c r="BO100">
        <v>213.69</v>
      </c>
      <c r="BP100">
        <v>53.43</v>
      </c>
      <c r="BQ100">
        <f t="shared" si="1"/>
        <v>1495.86</v>
      </c>
      <c r="BR100" t="s">
        <v>343</v>
      </c>
    </row>
    <row r="101" spans="1:70">
      <c r="A101" t="s">
        <v>685</v>
      </c>
      <c r="B101" t="s">
        <v>686</v>
      </c>
      <c r="C101" t="s">
        <v>71</v>
      </c>
      <c r="D101" t="s">
        <v>289</v>
      </c>
      <c r="E101" t="s">
        <v>73</v>
      </c>
      <c r="F101" t="s">
        <v>74</v>
      </c>
      <c r="G101">
        <v>240483</v>
      </c>
      <c r="H101" t="s">
        <v>74</v>
      </c>
      <c r="I101" t="s">
        <v>75</v>
      </c>
      <c r="J101" t="s">
        <v>74</v>
      </c>
      <c r="K101" t="s">
        <v>687</v>
      </c>
      <c r="L101" t="s">
        <v>77</v>
      </c>
      <c r="M101" t="s">
        <v>78</v>
      </c>
      <c r="N101" t="s">
        <v>229</v>
      </c>
      <c r="O101" t="s">
        <v>688</v>
      </c>
      <c r="P101" t="s">
        <v>598</v>
      </c>
      <c r="Z101">
        <v>2</v>
      </c>
      <c r="AF101" t="s">
        <v>339</v>
      </c>
      <c r="AG101" t="s">
        <v>296</v>
      </c>
      <c r="AH101" t="s">
        <v>339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0.3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375.4</v>
      </c>
      <c r="BE101">
        <v>0</v>
      </c>
      <c r="BF101">
        <v>80</v>
      </c>
      <c r="BG101">
        <v>0</v>
      </c>
      <c r="BH101">
        <v>0</v>
      </c>
      <c r="BI101">
        <v>16</v>
      </c>
      <c r="BJ101">
        <v>0</v>
      </c>
      <c r="BK101">
        <v>0</v>
      </c>
      <c r="BL101">
        <v>0</v>
      </c>
      <c r="BM101">
        <v>0</v>
      </c>
      <c r="BN101">
        <v>471.7</v>
      </c>
      <c r="BO101">
        <v>75.47</v>
      </c>
      <c r="BP101">
        <v>18.87</v>
      </c>
      <c r="BQ101">
        <f t="shared" si="1"/>
        <v>528.29999999999995</v>
      </c>
      <c r="BR101" t="s">
        <v>229</v>
      </c>
    </row>
    <row r="102" spans="1:70">
      <c r="A102" t="s">
        <v>689</v>
      </c>
      <c r="B102" t="s">
        <v>690</v>
      </c>
      <c r="C102" t="s">
        <v>71</v>
      </c>
      <c r="D102" t="s">
        <v>289</v>
      </c>
      <c r="E102" t="s">
        <v>73</v>
      </c>
      <c r="F102" t="s">
        <v>74</v>
      </c>
      <c r="G102">
        <v>240493</v>
      </c>
      <c r="H102" t="s">
        <v>74</v>
      </c>
      <c r="I102" t="s">
        <v>75</v>
      </c>
      <c r="J102" t="s">
        <v>74</v>
      </c>
      <c r="K102" t="s">
        <v>691</v>
      </c>
      <c r="L102" t="s">
        <v>77</v>
      </c>
      <c r="M102" t="s">
        <v>78</v>
      </c>
      <c r="N102" t="s">
        <v>620</v>
      </c>
      <c r="O102" t="s">
        <v>692</v>
      </c>
      <c r="P102" t="s">
        <v>598</v>
      </c>
      <c r="AB102">
        <v>3</v>
      </c>
      <c r="AF102" t="s">
        <v>314</v>
      </c>
      <c r="AG102" t="s">
        <v>296</v>
      </c>
      <c r="AH102" t="s">
        <v>314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0.45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279.54000000000002</v>
      </c>
      <c r="BE102">
        <v>0</v>
      </c>
      <c r="BF102">
        <v>120</v>
      </c>
      <c r="BG102">
        <v>0</v>
      </c>
      <c r="BH102">
        <v>0</v>
      </c>
      <c r="BI102">
        <v>24</v>
      </c>
      <c r="BJ102">
        <v>0</v>
      </c>
      <c r="BK102">
        <v>0</v>
      </c>
      <c r="BL102">
        <v>0</v>
      </c>
      <c r="BM102">
        <v>0</v>
      </c>
      <c r="BN102">
        <v>423.99</v>
      </c>
      <c r="BO102">
        <v>67.84</v>
      </c>
      <c r="BP102">
        <v>16.96</v>
      </c>
      <c r="BQ102">
        <f t="shared" si="1"/>
        <v>474.87000000000006</v>
      </c>
      <c r="BR102" t="s">
        <v>83</v>
      </c>
    </row>
    <row r="103" spans="1:70">
      <c r="A103" t="s">
        <v>693</v>
      </c>
      <c r="B103" t="s">
        <v>694</v>
      </c>
      <c r="C103" t="s">
        <v>71</v>
      </c>
      <c r="D103" t="s">
        <v>289</v>
      </c>
      <c r="E103" t="s">
        <v>73</v>
      </c>
      <c r="F103" t="s">
        <v>74</v>
      </c>
      <c r="G103" t="s">
        <v>695</v>
      </c>
      <c r="H103" t="s">
        <v>74</v>
      </c>
      <c r="I103" t="s">
        <v>75</v>
      </c>
      <c r="J103" t="s">
        <v>74</v>
      </c>
      <c r="K103" t="s">
        <v>696</v>
      </c>
      <c r="L103" t="s">
        <v>77</v>
      </c>
      <c r="M103" t="s">
        <v>78</v>
      </c>
      <c r="N103" t="s">
        <v>501</v>
      </c>
      <c r="O103" t="s">
        <v>697</v>
      </c>
      <c r="P103" t="s">
        <v>598</v>
      </c>
      <c r="Z103">
        <v>2</v>
      </c>
      <c r="AF103" t="s">
        <v>339</v>
      </c>
      <c r="AG103" t="s">
        <v>296</v>
      </c>
      <c r="AH103" t="s">
        <v>339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0.3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375.4</v>
      </c>
      <c r="BE103">
        <v>0</v>
      </c>
      <c r="BF103">
        <v>80</v>
      </c>
      <c r="BG103">
        <v>0</v>
      </c>
      <c r="BH103">
        <v>0</v>
      </c>
      <c r="BI103">
        <v>16</v>
      </c>
      <c r="BJ103">
        <v>0</v>
      </c>
      <c r="BK103">
        <v>0</v>
      </c>
      <c r="BL103">
        <v>0</v>
      </c>
      <c r="BM103">
        <v>0</v>
      </c>
      <c r="BN103">
        <v>471.7</v>
      </c>
      <c r="BO103">
        <v>75.47</v>
      </c>
      <c r="BP103">
        <v>18.87</v>
      </c>
      <c r="BQ103">
        <f t="shared" si="1"/>
        <v>528.29999999999995</v>
      </c>
      <c r="BR103" t="s">
        <v>501</v>
      </c>
    </row>
    <row r="104" spans="1:70">
      <c r="A104" t="s">
        <v>698</v>
      </c>
      <c r="B104" t="s">
        <v>699</v>
      </c>
      <c r="C104" t="s">
        <v>71</v>
      </c>
      <c r="D104" t="s">
        <v>289</v>
      </c>
      <c r="E104" t="s">
        <v>73</v>
      </c>
      <c r="F104" t="s">
        <v>74</v>
      </c>
      <c r="G104">
        <v>240496</v>
      </c>
      <c r="H104" t="s">
        <v>74</v>
      </c>
      <c r="I104" t="s">
        <v>75</v>
      </c>
      <c r="J104" t="s">
        <v>74</v>
      </c>
      <c r="K104" t="s">
        <v>700</v>
      </c>
      <c r="L104" t="s">
        <v>77</v>
      </c>
      <c r="M104" t="s">
        <v>78</v>
      </c>
      <c r="N104" t="s">
        <v>674</v>
      </c>
      <c r="O104" t="s">
        <v>675</v>
      </c>
      <c r="P104" t="s">
        <v>598</v>
      </c>
      <c r="AD104">
        <v>4</v>
      </c>
      <c r="AF104" t="s">
        <v>326</v>
      </c>
      <c r="AG104" t="s">
        <v>296</v>
      </c>
      <c r="AH104" t="s">
        <v>326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0.6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231.4</v>
      </c>
      <c r="BE104">
        <v>0</v>
      </c>
      <c r="BF104">
        <v>160</v>
      </c>
      <c r="BG104">
        <v>0</v>
      </c>
      <c r="BH104">
        <v>0</v>
      </c>
      <c r="BI104">
        <v>32</v>
      </c>
      <c r="BJ104">
        <v>0</v>
      </c>
      <c r="BK104">
        <v>0</v>
      </c>
      <c r="BL104">
        <v>0</v>
      </c>
      <c r="BM104">
        <v>0</v>
      </c>
      <c r="BN104">
        <v>424</v>
      </c>
      <c r="BO104">
        <v>67.84</v>
      </c>
      <c r="BP104">
        <v>16.96</v>
      </c>
      <c r="BQ104">
        <f t="shared" si="1"/>
        <v>474.88000000000005</v>
      </c>
      <c r="BR104" t="s">
        <v>674</v>
      </c>
    </row>
    <row r="105" spans="1:70">
      <c r="A105" t="s">
        <v>701</v>
      </c>
      <c r="B105" t="s">
        <v>702</v>
      </c>
      <c r="C105" t="s">
        <v>71</v>
      </c>
      <c r="D105" t="s">
        <v>289</v>
      </c>
      <c r="E105" t="s">
        <v>73</v>
      </c>
      <c r="F105" t="s">
        <v>74</v>
      </c>
      <c r="G105">
        <v>240498</v>
      </c>
      <c r="H105" t="s">
        <v>74</v>
      </c>
      <c r="I105" t="s">
        <v>75</v>
      </c>
      <c r="J105" t="s">
        <v>74</v>
      </c>
      <c r="K105" t="s">
        <v>703</v>
      </c>
      <c r="L105" t="s">
        <v>77</v>
      </c>
      <c r="M105" t="s">
        <v>78</v>
      </c>
      <c r="N105" t="s">
        <v>229</v>
      </c>
      <c r="O105" t="s">
        <v>230</v>
      </c>
      <c r="P105" t="s">
        <v>598</v>
      </c>
      <c r="V105">
        <v>1</v>
      </c>
      <c r="AF105" t="s">
        <v>295</v>
      </c>
      <c r="AG105" t="s">
        <v>296</v>
      </c>
      <c r="AH105" t="s">
        <v>295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0.15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423.55</v>
      </c>
      <c r="BE105">
        <v>0</v>
      </c>
      <c r="BF105">
        <v>40</v>
      </c>
      <c r="BG105">
        <v>0</v>
      </c>
      <c r="BH105">
        <v>0</v>
      </c>
      <c r="BI105">
        <v>8</v>
      </c>
      <c r="BJ105">
        <v>0</v>
      </c>
      <c r="BK105">
        <v>0</v>
      </c>
      <c r="BL105">
        <v>0</v>
      </c>
      <c r="BM105">
        <v>0</v>
      </c>
      <c r="BN105">
        <v>471.7</v>
      </c>
      <c r="BO105">
        <v>75.47</v>
      </c>
      <c r="BP105">
        <v>18.87</v>
      </c>
      <c r="BQ105">
        <f t="shared" si="1"/>
        <v>528.29999999999995</v>
      </c>
      <c r="BR105" t="s">
        <v>229</v>
      </c>
    </row>
    <row r="106" spans="1:70">
      <c r="A106" t="s">
        <v>704</v>
      </c>
      <c r="B106" t="s">
        <v>705</v>
      </c>
      <c r="C106" t="s">
        <v>71</v>
      </c>
      <c r="D106" t="s">
        <v>289</v>
      </c>
      <c r="E106" t="s">
        <v>73</v>
      </c>
      <c r="F106" t="s">
        <v>74</v>
      </c>
      <c r="G106">
        <v>240489</v>
      </c>
      <c r="H106" t="s">
        <v>74</v>
      </c>
      <c r="I106" t="s">
        <v>75</v>
      </c>
      <c r="J106" t="s">
        <v>74</v>
      </c>
      <c r="K106" t="s">
        <v>706</v>
      </c>
      <c r="L106" t="s">
        <v>77</v>
      </c>
      <c r="M106" t="s">
        <v>78</v>
      </c>
      <c r="N106" t="s">
        <v>707</v>
      </c>
      <c r="O106" t="s">
        <v>708</v>
      </c>
      <c r="P106" t="s">
        <v>598</v>
      </c>
      <c r="V106">
        <v>1</v>
      </c>
      <c r="AF106" t="s">
        <v>295</v>
      </c>
      <c r="AG106" t="s">
        <v>296</v>
      </c>
      <c r="AH106" t="s">
        <v>295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0.15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375.85</v>
      </c>
      <c r="BE106">
        <v>0</v>
      </c>
      <c r="BF106">
        <v>40</v>
      </c>
      <c r="BG106">
        <v>0</v>
      </c>
      <c r="BH106">
        <v>0</v>
      </c>
      <c r="BI106">
        <v>8</v>
      </c>
      <c r="BJ106">
        <v>0</v>
      </c>
      <c r="BK106">
        <v>0</v>
      </c>
      <c r="BL106">
        <v>0</v>
      </c>
      <c r="BM106">
        <v>0</v>
      </c>
      <c r="BN106">
        <v>424</v>
      </c>
      <c r="BO106">
        <v>67.84</v>
      </c>
      <c r="BP106">
        <v>16.96</v>
      </c>
      <c r="BQ106">
        <f t="shared" si="1"/>
        <v>474.88000000000005</v>
      </c>
      <c r="BR106" t="s">
        <v>649</v>
      </c>
    </row>
    <row r="107" spans="1:70">
      <c r="A107" t="s">
        <v>709</v>
      </c>
      <c r="B107" t="s">
        <v>710</v>
      </c>
      <c r="C107" t="s">
        <v>71</v>
      </c>
      <c r="D107" t="s">
        <v>289</v>
      </c>
      <c r="E107" t="s">
        <v>73</v>
      </c>
      <c r="F107" t="s">
        <v>74</v>
      </c>
      <c r="G107">
        <v>240477</v>
      </c>
      <c r="H107" t="s">
        <v>74</v>
      </c>
      <c r="I107" t="s">
        <v>75</v>
      </c>
      <c r="J107" t="s">
        <v>74</v>
      </c>
      <c r="K107" t="s">
        <v>711</v>
      </c>
      <c r="L107" t="s">
        <v>77</v>
      </c>
      <c r="M107" t="s">
        <v>78</v>
      </c>
      <c r="N107" t="s">
        <v>92</v>
      </c>
      <c r="O107" t="s">
        <v>712</v>
      </c>
      <c r="P107" t="s">
        <v>598</v>
      </c>
      <c r="X107">
        <v>9</v>
      </c>
      <c r="AF107" t="s">
        <v>407</v>
      </c>
      <c r="AG107" t="s">
        <v>296</v>
      </c>
      <c r="AH107" t="s">
        <v>407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1.35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139.05000000000001</v>
      </c>
      <c r="BE107">
        <v>0</v>
      </c>
      <c r="BF107">
        <v>360</v>
      </c>
      <c r="BG107">
        <v>0</v>
      </c>
      <c r="BH107">
        <v>0</v>
      </c>
      <c r="BI107">
        <v>72</v>
      </c>
      <c r="BJ107">
        <v>0</v>
      </c>
      <c r="BK107">
        <v>0</v>
      </c>
      <c r="BL107">
        <v>0</v>
      </c>
      <c r="BM107">
        <v>0</v>
      </c>
      <c r="BN107">
        <v>572.4</v>
      </c>
      <c r="BO107">
        <v>91.59</v>
      </c>
      <c r="BP107">
        <v>22.89</v>
      </c>
      <c r="BQ107">
        <f t="shared" si="1"/>
        <v>641.1</v>
      </c>
      <c r="BR107" t="s">
        <v>371</v>
      </c>
    </row>
    <row r="108" spans="1:70">
      <c r="A108" t="s">
        <v>713</v>
      </c>
      <c r="B108" t="s">
        <v>714</v>
      </c>
      <c r="C108" t="s">
        <v>71</v>
      </c>
      <c r="D108" t="s">
        <v>289</v>
      </c>
      <c r="E108" t="s">
        <v>73</v>
      </c>
      <c r="F108" t="s">
        <v>74</v>
      </c>
      <c r="G108">
        <v>240465</v>
      </c>
      <c r="H108" t="s">
        <v>74</v>
      </c>
      <c r="I108" t="s">
        <v>75</v>
      </c>
      <c r="J108" t="s">
        <v>74</v>
      </c>
      <c r="K108" t="s">
        <v>715</v>
      </c>
      <c r="L108" t="s">
        <v>77</v>
      </c>
      <c r="M108" t="s">
        <v>78</v>
      </c>
      <c r="N108" t="s">
        <v>620</v>
      </c>
      <c r="O108" t="s">
        <v>716</v>
      </c>
      <c r="P108" t="s">
        <v>598</v>
      </c>
      <c r="X108">
        <v>25</v>
      </c>
      <c r="AF108" t="s">
        <v>717</v>
      </c>
      <c r="AG108" t="s">
        <v>296</v>
      </c>
      <c r="AH108" t="s">
        <v>717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3.75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386.25</v>
      </c>
      <c r="BE108">
        <v>0</v>
      </c>
      <c r="BF108">
        <v>1000</v>
      </c>
      <c r="BG108">
        <v>0</v>
      </c>
      <c r="BH108">
        <v>0</v>
      </c>
      <c r="BI108">
        <v>200</v>
      </c>
      <c r="BJ108">
        <v>0</v>
      </c>
      <c r="BK108">
        <v>0</v>
      </c>
      <c r="BL108">
        <v>0</v>
      </c>
      <c r="BM108">
        <v>0</v>
      </c>
      <c r="BN108">
        <v>1590</v>
      </c>
      <c r="BO108">
        <v>254.4</v>
      </c>
      <c r="BP108">
        <v>63.6</v>
      </c>
      <c r="BQ108">
        <f t="shared" si="1"/>
        <v>1780.8000000000002</v>
      </c>
      <c r="BR108" t="s">
        <v>83</v>
      </c>
    </row>
    <row r="109" spans="1:70">
      <c r="A109" t="s">
        <v>718</v>
      </c>
      <c r="B109" t="s">
        <v>719</v>
      </c>
      <c r="C109" t="s">
        <v>71</v>
      </c>
      <c r="D109" t="s">
        <v>289</v>
      </c>
      <c r="E109" t="s">
        <v>73</v>
      </c>
      <c r="F109" t="s">
        <v>74</v>
      </c>
      <c r="G109">
        <v>240473</v>
      </c>
      <c r="H109" t="s">
        <v>74</v>
      </c>
      <c r="I109" t="s">
        <v>75</v>
      </c>
      <c r="J109" t="s">
        <v>74</v>
      </c>
      <c r="K109" t="s">
        <v>720</v>
      </c>
      <c r="L109" t="s">
        <v>77</v>
      </c>
      <c r="M109" t="s">
        <v>78</v>
      </c>
      <c r="N109" t="s">
        <v>721</v>
      </c>
      <c r="O109" t="s">
        <v>722</v>
      </c>
      <c r="P109" t="s">
        <v>598</v>
      </c>
      <c r="X109">
        <v>21</v>
      </c>
      <c r="AF109" t="s">
        <v>684</v>
      </c>
      <c r="AG109" t="s">
        <v>296</v>
      </c>
      <c r="AH109" t="s">
        <v>684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3.15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324.45</v>
      </c>
      <c r="BE109">
        <v>0</v>
      </c>
      <c r="BF109">
        <v>840</v>
      </c>
      <c r="BG109">
        <v>0</v>
      </c>
      <c r="BH109">
        <v>0</v>
      </c>
      <c r="BI109">
        <v>168</v>
      </c>
      <c r="BJ109">
        <v>0</v>
      </c>
      <c r="BK109">
        <v>0</v>
      </c>
      <c r="BL109">
        <v>0</v>
      </c>
      <c r="BM109">
        <v>0</v>
      </c>
      <c r="BN109">
        <v>1335.6</v>
      </c>
      <c r="BO109">
        <v>213.69</v>
      </c>
      <c r="BP109">
        <v>53.43</v>
      </c>
      <c r="BQ109">
        <f t="shared" si="1"/>
        <v>1495.86</v>
      </c>
      <c r="BR109" t="s">
        <v>721</v>
      </c>
    </row>
    <row r="110" spans="1:70">
      <c r="A110" t="s">
        <v>723</v>
      </c>
      <c r="B110" t="s">
        <v>724</v>
      </c>
      <c r="C110" t="s">
        <v>71</v>
      </c>
      <c r="D110" t="s">
        <v>289</v>
      </c>
      <c r="E110" t="s">
        <v>73</v>
      </c>
      <c r="F110" t="s">
        <v>74</v>
      </c>
      <c r="G110">
        <v>240487</v>
      </c>
      <c r="H110" t="s">
        <v>74</v>
      </c>
      <c r="I110" t="s">
        <v>75</v>
      </c>
      <c r="J110" t="s">
        <v>74</v>
      </c>
      <c r="K110" t="s">
        <v>725</v>
      </c>
      <c r="L110" t="s">
        <v>77</v>
      </c>
      <c r="M110" t="s">
        <v>78</v>
      </c>
      <c r="N110" t="s">
        <v>119</v>
      </c>
      <c r="O110" t="s">
        <v>726</v>
      </c>
      <c r="P110" t="s">
        <v>598</v>
      </c>
      <c r="AD110">
        <v>4</v>
      </c>
      <c r="AF110" t="s">
        <v>326</v>
      </c>
      <c r="AG110" t="s">
        <v>296</v>
      </c>
      <c r="AH110" t="s">
        <v>326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0.6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231.4</v>
      </c>
      <c r="BE110">
        <v>0</v>
      </c>
      <c r="BF110">
        <v>160</v>
      </c>
      <c r="BG110">
        <v>0</v>
      </c>
      <c r="BH110">
        <v>0</v>
      </c>
      <c r="BI110">
        <v>32</v>
      </c>
      <c r="BJ110">
        <v>0</v>
      </c>
      <c r="BK110">
        <v>0</v>
      </c>
      <c r="BL110">
        <v>0</v>
      </c>
      <c r="BM110">
        <v>0</v>
      </c>
      <c r="BN110">
        <v>424</v>
      </c>
      <c r="BO110">
        <v>67.84</v>
      </c>
      <c r="BP110">
        <v>16.96</v>
      </c>
      <c r="BQ110">
        <f t="shared" si="1"/>
        <v>474.88000000000005</v>
      </c>
      <c r="BR110" t="s">
        <v>119</v>
      </c>
    </row>
    <row r="111" spans="1:70">
      <c r="A111" t="s">
        <v>727</v>
      </c>
      <c r="B111" t="s">
        <v>728</v>
      </c>
      <c r="C111" t="s">
        <v>71</v>
      </c>
      <c r="D111" t="s">
        <v>289</v>
      </c>
      <c r="E111" t="s">
        <v>73</v>
      </c>
      <c r="F111" t="s">
        <v>74</v>
      </c>
      <c r="G111">
        <v>240486</v>
      </c>
      <c r="H111" t="s">
        <v>74</v>
      </c>
      <c r="I111" t="s">
        <v>75</v>
      </c>
      <c r="J111" t="s">
        <v>74</v>
      </c>
      <c r="K111" t="s">
        <v>729</v>
      </c>
      <c r="L111" t="s">
        <v>77</v>
      </c>
      <c r="M111" t="s">
        <v>78</v>
      </c>
      <c r="N111" t="s">
        <v>79</v>
      </c>
      <c r="O111" t="s">
        <v>730</v>
      </c>
      <c r="P111" t="s">
        <v>598</v>
      </c>
      <c r="AB111">
        <v>3</v>
      </c>
      <c r="AF111" t="s">
        <v>314</v>
      </c>
      <c r="AG111" t="s">
        <v>296</v>
      </c>
      <c r="AH111" t="s">
        <v>314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0.45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279.54000000000002</v>
      </c>
      <c r="BE111">
        <v>0</v>
      </c>
      <c r="BF111">
        <v>120</v>
      </c>
      <c r="BG111">
        <v>0</v>
      </c>
      <c r="BH111">
        <v>0</v>
      </c>
      <c r="BI111">
        <v>24</v>
      </c>
      <c r="BJ111">
        <v>0</v>
      </c>
      <c r="BK111">
        <v>0</v>
      </c>
      <c r="BL111">
        <v>0</v>
      </c>
      <c r="BM111">
        <v>0</v>
      </c>
      <c r="BN111">
        <v>423.99</v>
      </c>
      <c r="BO111">
        <v>67.84</v>
      </c>
      <c r="BP111">
        <v>16.96</v>
      </c>
      <c r="BQ111">
        <f t="shared" si="1"/>
        <v>474.87000000000006</v>
      </c>
      <c r="BR111" t="s">
        <v>83</v>
      </c>
    </row>
    <row r="112" spans="1:70">
      <c r="A112" t="s">
        <v>731</v>
      </c>
      <c r="B112" t="s">
        <v>732</v>
      </c>
      <c r="C112" t="s">
        <v>71</v>
      </c>
      <c r="D112" t="s">
        <v>289</v>
      </c>
      <c r="E112" t="s">
        <v>73</v>
      </c>
      <c r="F112" t="s">
        <v>74</v>
      </c>
      <c r="G112">
        <v>240474</v>
      </c>
      <c r="H112" t="s">
        <v>74</v>
      </c>
      <c r="I112" t="s">
        <v>75</v>
      </c>
      <c r="J112" t="s">
        <v>74</v>
      </c>
      <c r="K112" t="s">
        <v>733</v>
      </c>
      <c r="L112" t="s">
        <v>77</v>
      </c>
      <c r="M112" t="s">
        <v>78</v>
      </c>
      <c r="N112" t="s">
        <v>734</v>
      </c>
      <c r="O112" t="s">
        <v>735</v>
      </c>
      <c r="P112" t="s">
        <v>598</v>
      </c>
      <c r="X112">
        <v>19</v>
      </c>
      <c r="AF112" t="s">
        <v>569</v>
      </c>
      <c r="AG112" t="s">
        <v>296</v>
      </c>
      <c r="AH112" t="s">
        <v>569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2.85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293.55</v>
      </c>
      <c r="BE112">
        <v>0</v>
      </c>
      <c r="BF112">
        <v>760</v>
      </c>
      <c r="BG112">
        <v>0</v>
      </c>
      <c r="BH112">
        <v>0</v>
      </c>
      <c r="BI112">
        <v>152</v>
      </c>
      <c r="BJ112">
        <v>0</v>
      </c>
      <c r="BK112">
        <v>0</v>
      </c>
      <c r="BL112">
        <v>0</v>
      </c>
      <c r="BM112">
        <v>0</v>
      </c>
      <c r="BN112">
        <v>1208.4000000000001</v>
      </c>
      <c r="BO112">
        <v>193.35</v>
      </c>
      <c r="BP112">
        <v>48.33</v>
      </c>
      <c r="BQ112">
        <f t="shared" si="1"/>
        <v>1353.42</v>
      </c>
      <c r="BR112" t="s">
        <v>734</v>
      </c>
    </row>
    <row r="113" spans="1:70">
      <c r="A113" t="s">
        <v>736</v>
      </c>
      <c r="B113" t="s">
        <v>737</v>
      </c>
      <c r="C113" t="s">
        <v>71</v>
      </c>
      <c r="D113" t="s">
        <v>289</v>
      </c>
      <c r="E113" t="s">
        <v>73</v>
      </c>
      <c r="F113" t="s">
        <v>74</v>
      </c>
      <c r="G113" t="s">
        <v>738</v>
      </c>
      <c r="H113" t="s">
        <v>74</v>
      </c>
      <c r="I113" t="s">
        <v>75</v>
      </c>
      <c r="J113" t="s">
        <v>74</v>
      </c>
      <c r="K113" t="s">
        <v>739</v>
      </c>
      <c r="L113" t="s">
        <v>77</v>
      </c>
      <c r="M113" t="s">
        <v>78</v>
      </c>
      <c r="N113" t="s">
        <v>286</v>
      </c>
      <c r="O113" t="s">
        <v>740</v>
      </c>
      <c r="P113" t="s">
        <v>598</v>
      </c>
      <c r="X113">
        <v>10</v>
      </c>
      <c r="AF113" t="s">
        <v>372</v>
      </c>
      <c r="AG113" t="s">
        <v>296</v>
      </c>
      <c r="AH113" t="s">
        <v>372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1.5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461.9</v>
      </c>
      <c r="BE113">
        <v>0</v>
      </c>
      <c r="BF113">
        <v>400</v>
      </c>
      <c r="BG113">
        <v>0</v>
      </c>
      <c r="BH113">
        <v>0</v>
      </c>
      <c r="BI113">
        <v>80</v>
      </c>
      <c r="BJ113">
        <v>0</v>
      </c>
      <c r="BK113">
        <v>0</v>
      </c>
      <c r="BL113">
        <v>0</v>
      </c>
      <c r="BM113">
        <v>0</v>
      </c>
      <c r="BN113">
        <v>943.4</v>
      </c>
      <c r="BO113">
        <v>150.94</v>
      </c>
      <c r="BP113">
        <v>37.74</v>
      </c>
      <c r="BQ113">
        <f t="shared" si="1"/>
        <v>1056.5999999999999</v>
      </c>
      <c r="BR113" t="s">
        <v>286</v>
      </c>
    </row>
    <row r="114" spans="1:70">
      <c r="A114" t="s">
        <v>741</v>
      </c>
      <c r="B114" t="s">
        <v>742</v>
      </c>
      <c r="C114" t="s">
        <v>71</v>
      </c>
      <c r="D114" t="s">
        <v>289</v>
      </c>
      <c r="E114" t="s">
        <v>73</v>
      </c>
      <c r="F114" t="s">
        <v>74</v>
      </c>
      <c r="G114">
        <v>240480</v>
      </c>
      <c r="H114" t="s">
        <v>74</v>
      </c>
      <c r="I114" t="s">
        <v>75</v>
      </c>
      <c r="J114" t="s">
        <v>74</v>
      </c>
      <c r="K114" t="s">
        <v>743</v>
      </c>
      <c r="L114" t="s">
        <v>77</v>
      </c>
      <c r="M114" t="s">
        <v>78</v>
      </c>
      <c r="N114" t="s">
        <v>324</v>
      </c>
      <c r="O114" t="s">
        <v>744</v>
      </c>
      <c r="P114" t="s">
        <v>598</v>
      </c>
      <c r="Z114">
        <v>2</v>
      </c>
      <c r="AF114" t="s">
        <v>339</v>
      </c>
      <c r="AG114" t="s">
        <v>296</v>
      </c>
      <c r="AH114" t="s">
        <v>339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0.3</v>
      </c>
      <c r="AT114">
        <v>0</v>
      </c>
      <c r="AU114">
        <v>0</v>
      </c>
      <c r="AV114">
        <v>52.58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375.4</v>
      </c>
      <c r="BE114">
        <v>0</v>
      </c>
      <c r="BF114">
        <v>80</v>
      </c>
      <c r="BG114">
        <v>0</v>
      </c>
      <c r="BH114">
        <v>0</v>
      </c>
      <c r="BI114">
        <v>16</v>
      </c>
      <c r="BJ114">
        <v>0</v>
      </c>
      <c r="BK114">
        <v>0</v>
      </c>
      <c r="BL114">
        <v>0</v>
      </c>
      <c r="BM114">
        <v>0</v>
      </c>
      <c r="BN114">
        <v>524.28</v>
      </c>
      <c r="BO114">
        <v>83.88</v>
      </c>
      <c r="BP114">
        <v>18.87</v>
      </c>
      <c r="BQ114">
        <f t="shared" si="1"/>
        <v>589.29</v>
      </c>
      <c r="BR114" t="s">
        <v>324</v>
      </c>
    </row>
    <row r="115" spans="1:70">
      <c r="A115" t="s">
        <v>745</v>
      </c>
      <c r="B115" t="s">
        <v>746</v>
      </c>
      <c r="C115" t="s">
        <v>71</v>
      </c>
      <c r="D115" t="s">
        <v>289</v>
      </c>
      <c r="E115" t="s">
        <v>73</v>
      </c>
      <c r="F115" t="s">
        <v>74</v>
      </c>
      <c r="G115">
        <v>240479</v>
      </c>
      <c r="H115" t="s">
        <v>74</v>
      </c>
      <c r="I115" t="s">
        <v>75</v>
      </c>
      <c r="J115" t="s">
        <v>74</v>
      </c>
      <c r="K115" t="s">
        <v>747</v>
      </c>
      <c r="L115" t="s">
        <v>77</v>
      </c>
      <c r="M115" t="s">
        <v>78</v>
      </c>
      <c r="N115" t="s">
        <v>748</v>
      </c>
      <c r="O115" t="s">
        <v>749</v>
      </c>
      <c r="P115" t="s">
        <v>598</v>
      </c>
      <c r="V115">
        <v>1</v>
      </c>
      <c r="AF115" t="s">
        <v>295</v>
      </c>
      <c r="AG115" t="s">
        <v>296</v>
      </c>
      <c r="AH115" t="s">
        <v>295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0.15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375.85</v>
      </c>
      <c r="BE115">
        <v>0</v>
      </c>
      <c r="BF115">
        <v>40</v>
      </c>
      <c r="BG115">
        <v>0</v>
      </c>
      <c r="BH115">
        <v>0</v>
      </c>
      <c r="BI115">
        <v>8</v>
      </c>
      <c r="BJ115">
        <v>0</v>
      </c>
      <c r="BK115">
        <v>0</v>
      </c>
      <c r="BL115">
        <v>0</v>
      </c>
      <c r="BM115">
        <v>0</v>
      </c>
      <c r="BN115">
        <v>424</v>
      </c>
      <c r="BO115">
        <v>67.84</v>
      </c>
      <c r="BP115">
        <v>16.96</v>
      </c>
      <c r="BQ115">
        <f t="shared" si="1"/>
        <v>474.88000000000005</v>
      </c>
      <c r="BR115" t="s">
        <v>748</v>
      </c>
    </row>
    <row r="116" spans="1:70">
      <c r="A116" t="s">
        <v>750</v>
      </c>
      <c r="B116" t="s">
        <v>751</v>
      </c>
      <c r="C116" t="s">
        <v>71</v>
      </c>
      <c r="D116" t="s">
        <v>289</v>
      </c>
      <c r="E116" t="s">
        <v>73</v>
      </c>
      <c r="F116" t="s">
        <v>74</v>
      </c>
      <c r="G116">
        <v>240469</v>
      </c>
      <c r="H116" t="s">
        <v>74</v>
      </c>
      <c r="I116" t="s">
        <v>75</v>
      </c>
      <c r="J116" t="s">
        <v>74</v>
      </c>
      <c r="K116" t="s">
        <v>752</v>
      </c>
      <c r="L116" t="s">
        <v>77</v>
      </c>
      <c r="M116" t="s">
        <v>78</v>
      </c>
      <c r="N116" t="s">
        <v>438</v>
      </c>
      <c r="O116" t="s">
        <v>753</v>
      </c>
      <c r="P116" t="s">
        <v>598</v>
      </c>
      <c r="X116">
        <v>5</v>
      </c>
      <c r="AF116" t="s">
        <v>333</v>
      </c>
      <c r="AG116" t="s">
        <v>296</v>
      </c>
      <c r="AH116" t="s">
        <v>333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0.75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77.25</v>
      </c>
      <c r="BE116">
        <v>0</v>
      </c>
      <c r="BF116">
        <v>200</v>
      </c>
      <c r="BG116">
        <v>0</v>
      </c>
      <c r="BH116">
        <v>0</v>
      </c>
      <c r="BI116">
        <v>40</v>
      </c>
      <c r="BJ116">
        <v>0</v>
      </c>
      <c r="BK116">
        <v>0</v>
      </c>
      <c r="BL116">
        <v>0</v>
      </c>
      <c r="BM116">
        <v>0</v>
      </c>
      <c r="BN116">
        <v>318</v>
      </c>
      <c r="BO116">
        <v>50.88</v>
      </c>
      <c r="BP116">
        <v>12.72</v>
      </c>
      <c r="BQ116">
        <f t="shared" si="1"/>
        <v>356.15999999999997</v>
      </c>
      <c r="BR116" t="s">
        <v>440</v>
      </c>
    </row>
    <row r="117" spans="1:70">
      <c r="A117" t="s">
        <v>754</v>
      </c>
      <c r="B117" t="s">
        <v>755</v>
      </c>
      <c r="C117" t="s">
        <v>71</v>
      </c>
      <c r="D117" t="s">
        <v>289</v>
      </c>
      <c r="E117" t="s">
        <v>73</v>
      </c>
      <c r="F117" t="s">
        <v>74</v>
      </c>
      <c r="G117">
        <v>240481</v>
      </c>
      <c r="H117" t="s">
        <v>74</v>
      </c>
      <c r="I117" t="s">
        <v>75</v>
      </c>
      <c r="J117" t="s">
        <v>74</v>
      </c>
      <c r="K117" t="s">
        <v>756</v>
      </c>
      <c r="L117" t="s">
        <v>77</v>
      </c>
      <c r="M117" t="s">
        <v>78</v>
      </c>
      <c r="N117" t="s">
        <v>757</v>
      </c>
      <c r="O117" t="s">
        <v>758</v>
      </c>
      <c r="P117" t="s">
        <v>598</v>
      </c>
      <c r="V117">
        <v>1</v>
      </c>
      <c r="AF117" t="s">
        <v>295</v>
      </c>
      <c r="AG117" t="s">
        <v>296</v>
      </c>
      <c r="AH117" t="s">
        <v>295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0.15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375.85</v>
      </c>
      <c r="BE117">
        <v>0</v>
      </c>
      <c r="BF117">
        <v>40</v>
      </c>
      <c r="BG117">
        <v>0</v>
      </c>
      <c r="BH117">
        <v>0</v>
      </c>
      <c r="BI117">
        <v>8</v>
      </c>
      <c r="BJ117">
        <v>0</v>
      </c>
      <c r="BK117">
        <v>0</v>
      </c>
      <c r="BL117">
        <v>0</v>
      </c>
      <c r="BM117">
        <v>0</v>
      </c>
      <c r="BN117">
        <v>424</v>
      </c>
      <c r="BO117">
        <v>67.84</v>
      </c>
      <c r="BP117">
        <v>16.96</v>
      </c>
      <c r="BQ117">
        <f t="shared" si="1"/>
        <v>474.88000000000005</v>
      </c>
      <c r="BR117" t="s">
        <v>757</v>
      </c>
    </row>
    <row r="118" spans="1:70">
      <c r="A118" t="s">
        <v>759</v>
      </c>
      <c r="B118" t="s">
        <v>760</v>
      </c>
      <c r="C118" t="s">
        <v>71</v>
      </c>
      <c r="D118" t="s">
        <v>289</v>
      </c>
      <c r="E118" t="s">
        <v>73</v>
      </c>
      <c r="F118" t="s">
        <v>74</v>
      </c>
      <c r="G118">
        <v>240475</v>
      </c>
      <c r="H118" t="s">
        <v>74</v>
      </c>
      <c r="I118" t="s">
        <v>75</v>
      </c>
      <c r="J118" t="s">
        <v>74</v>
      </c>
      <c r="K118" t="s">
        <v>761</v>
      </c>
      <c r="L118" t="s">
        <v>77</v>
      </c>
      <c r="M118" t="s">
        <v>78</v>
      </c>
      <c r="N118" t="s">
        <v>406</v>
      </c>
      <c r="O118" t="s">
        <v>666</v>
      </c>
      <c r="P118" t="s">
        <v>598</v>
      </c>
      <c r="X118">
        <v>9</v>
      </c>
      <c r="AF118" t="s">
        <v>407</v>
      </c>
      <c r="AG118" t="s">
        <v>296</v>
      </c>
      <c r="AH118" t="s">
        <v>407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1.35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139.05000000000001</v>
      </c>
      <c r="BE118">
        <v>0</v>
      </c>
      <c r="BF118">
        <v>360</v>
      </c>
      <c r="BG118">
        <v>0</v>
      </c>
      <c r="BH118">
        <v>0</v>
      </c>
      <c r="BI118">
        <v>72</v>
      </c>
      <c r="BJ118">
        <v>0</v>
      </c>
      <c r="BK118">
        <v>0</v>
      </c>
      <c r="BL118">
        <v>0</v>
      </c>
      <c r="BM118">
        <v>0</v>
      </c>
      <c r="BN118">
        <v>572.4</v>
      </c>
      <c r="BO118">
        <v>91.59</v>
      </c>
      <c r="BP118">
        <v>22.89</v>
      </c>
      <c r="BQ118">
        <f t="shared" si="1"/>
        <v>641.1</v>
      </c>
      <c r="BR118" t="s">
        <v>406</v>
      </c>
    </row>
    <row r="119" spans="1:70">
      <c r="A119" t="s">
        <v>762</v>
      </c>
      <c r="B119" t="s">
        <v>763</v>
      </c>
      <c r="C119" t="s">
        <v>71</v>
      </c>
      <c r="D119" t="s">
        <v>289</v>
      </c>
      <c r="E119" t="s">
        <v>73</v>
      </c>
      <c r="F119" t="s">
        <v>74</v>
      </c>
      <c r="G119">
        <v>240530</v>
      </c>
      <c r="H119" t="s">
        <v>74</v>
      </c>
      <c r="I119" t="s">
        <v>75</v>
      </c>
      <c r="J119" t="s">
        <v>74</v>
      </c>
      <c r="K119" t="s">
        <v>764</v>
      </c>
      <c r="L119" t="s">
        <v>77</v>
      </c>
      <c r="M119" t="s">
        <v>78</v>
      </c>
      <c r="N119" t="s">
        <v>765</v>
      </c>
      <c r="O119" t="s">
        <v>766</v>
      </c>
      <c r="P119" t="s">
        <v>598</v>
      </c>
      <c r="X119">
        <v>17</v>
      </c>
      <c r="AF119" t="s">
        <v>464</v>
      </c>
      <c r="AG119" t="s">
        <v>296</v>
      </c>
      <c r="AH119" t="s">
        <v>464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2.5499999999999998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785.23</v>
      </c>
      <c r="BE119">
        <v>0</v>
      </c>
      <c r="BF119">
        <v>680</v>
      </c>
      <c r="BG119">
        <v>0</v>
      </c>
      <c r="BH119">
        <v>0</v>
      </c>
      <c r="BI119">
        <v>136</v>
      </c>
      <c r="BJ119">
        <v>0</v>
      </c>
      <c r="BK119">
        <v>0</v>
      </c>
      <c r="BL119">
        <v>0</v>
      </c>
      <c r="BM119">
        <v>0</v>
      </c>
      <c r="BN119">
        <v>1603.78</v>
      </c>
      <c r="BO119">
        <v>256.61</v>
      </c>
      <c r="BP119">
        <v>64.150000000000006</v>
      </c>
      <c r="BQ119">
        <f t="shared" si="1"/>
        <v>1796.2399999999998</v>
      </c>
      <c r="BR119" t="s">
        <v>332</v>
      </c>
    </row>
    <row r="120" spans="1:70">
      <c r="A120" t="s">
        <v>767</v>
      </c>
      <c r="B120" t="s">
        <v>768</v>
      </c>
      <c r="C120" t="s">
        <v>71</v>
      </c>
      <c r="D120" t="s">
        <v>289</v>
      </c>
      <c r="E120" t="s">
        <v>73</v>
      </c>
      <c r="G120">
        <v>240559</v>
      </c>
      <c r="H120" t="s">
        <v>74</v>
      </c>
      <c r="I120" t="s">
        <v>75</v>
      </c>
      <c r="J120" t="s">
        <v>74</v>
      </c>
      <c r="K120" t="s">
        <v>769</v>
      </c>
      <c r="L120" t="s">
        <v>77</v>
      </c>
      <c r="M120" t="s">
        <v>78</v>
      </c>
      <c r="N120" t="s">
        <v>349</v>
      </c>
      <c r="O120" t="s">
        <v>770</v>
      </c>
      <c r="P120" t="s">
        <v>771</v>
      </c>
      <c r="X120">
        <v>6</v>
      </c>
      <c r="AF120" t="s">
        <v>400</v>
      </c>
      <c r="AG120" t="s">
        <v>296</v>
      </c>
      <c r="AH120" t="s">
        <v>400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0.9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277.14</v>
      </c>
      <c r="BE120">
        <v>0</v>
      </c>
      <c r="BF120">
        <v>240</v>
      </c>
      <c r="BG120">
        <v>0</v>
      </c>
      <c r="BH120">
        <v>0</v>
      </c>
      <c r="BI120">
        <v>48</v>
      </c>
      <c r="BJ120">
        <v>0</v>
      </c>
      <c r="BK120">
        <v>0</v>
      </c>
      <c r="BL120">
        <v>0</v>
      </c>
      <c r="BM120">
        <v>0</v>
      </c>
      <c r="BN120">
        <v>566.04</v>
      </c>
      <c r="BO120">
        <v>90.56</v>
      </c>
      <c r="BP120">
        <v>22.65</v>
      </c>
      <c r="BQ120">
        <f t="shared" si="1"/>
        <v>633.94999999999993</v>
      </c>
      <c r="BR120" t="s">
        <v>349</v>
      </c>
    </row>
    <row r="121" spans="1:70">
      <c r="A121" t="s">
        <v>772</v>
      </c>
      <c r="B121" t="s">
        <v>773</v>
      </c>
      <c r="C121" t="s">
        <v>71</v>
      </c>
      <c r="D121" t="s">
        <v>289</v>
      </c>
      <c r="E121" t="s">
        <v>73</v>
      </c>
      <c r="F121" t="s">
        <v>74</v>
      </c>
      <c r="G121">
        <v>240556</v>
      </c>
      <c r="H121" t="s">
        <v>74</v>
      </c>
      <c r="I121" t="s">
        <v>75</v>
      </c>
      <c r="J121" t="s">
        <v>74</v>
      </c>
      <c r="K121" t="s">
        <v>774</v>
      </c>
      <c r="L121" t="s">
        <v>77</v>
      </c>
      <c r="M121" t="s">
        <v>78</v>
      </c>
      <c r="N121" t="s">
        <v>421</v>
      </c>
      <c r="O121" t="s">
        <v>775</v>
      </c>
      <c r="P121" t="s">
        <v>771</v>
      </c>
      <c r="X121">
        <v>10</v>
      </c>
      <c r="AF121" t="s">
        <v>372</v>
      </c>
      <c r="AG121" t="s">
        <v>296</v>
      </c>
      <c r="AH121" t="s">
        <v>372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1.5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461.9</v>
      </c>
      <c r="BE121">
        <v>0</v>
      </c>
      <c r="BF121">
        <v>400</v>
      </c>
      <c r="BG121">
        <v>0</v>
      </c>
      <c r="BH121">
        <v>0</v>
      </c>
      <c r="BI121">
        <v>80</v>
      </c>
      <c r="BJ121">
        <v>0</v>
      </c>
      <c r="BK121">
        <v>0</v>
      </c>
      <c r="BL121">
        <v>0</v>
      </c>
      <c r="BM121">
        <v>0</v>
      </c>
      <c r="BN121">
        <v>943.4</v>
      </c>
      <c r="BO121">
        <v>150.94</v>
      </c>
      <c r="BP121">
        <v>37.74</v>
      </c>
      <c r="BQ121">
        <f t="shared" si="1"/>
        <v>1056.5999999999999</v>
      </c>
      <c r="BR121" t="s">
        <v>423</v>
      </c>
    </row>
    <row r="122" spans="1:70">
      <c r="A122" t="s">
        <v>776</v>
      </c>
      <c r="B122" t="s">
        <v>777</v>
      </c>
      <c r="C122" t="s">
        <v>71</v>
      </c>
      <c r="D122" t="s">
        <v>289</v>
      </c>
      <c r="E122" t="s">
        <v>73</v>
      </c>
      <c r="F122" t="s">
        <v>74</v>
      </c>
      <c r="G122">
        <v>240560</v>
      </c>
      <c r="H122" t="s">
        <v>74</v>
      </c>
      <c r="I122" t="s">
        <v>75</v>
      </c>
      <c r="J122" t="s">
        <v>74</v>
      </c>
      <c r="K122" t="s">
        <v>778</v>
      </c>
      <c r="L122" t="s">
        <v>77</v>
      </c>
      <c r="M122" t="s">
        <v>78</v>
      </c>
      <c r="N122" t="s">
        <v>432</v>
      </c>
      <c r="O122" t="s">
        <v>779</v>
      </c>
      <c r="P122" t="s">
        <v>771</v>
      </c>
      <c r="X122">
        <v>10</v>
      </c>
      <c r="AF122" t="s">
        <v>372</v>
      </c>
      <c r="AG122" t="s">
        <v>296</v>
      </c>
      <c r="AH122" t="s">
        <v>372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1.5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461.9</v>
      </c>
      <c r="BE122">
        <v>0</v>
      </c>
      <c r="BF122">
        <v>400</v>
      </c>
      <c r="BG122">
        <v>0</v>
      </c>
      <c r="BH122">
        <v>0</v>
      </c>
      <c r="BI122">
        <v>80</v>
      </c>
      <c r="BJ122">
        <v>0</v>
      </c>
      <c r="BK122">
        <v>0</v>
      </c>
      <c r="BL122">
        <v>0</v>
      </c>
      <c r="BM122">
        <v>0</v>
      </c>
      <c r="BN122">
        <v>943.4</v>
      </c>
      <c r="BO122">
        <v>150.94</v>
      </c>
      <c r="BP122">
        <v>37.74</v>
      </c>
      <c r="BQ122">
        <f t="shared" si="1"/>
        <v>1056.5999999999999</v>
      </c>
      <c r="BR122" t="s">
        <v>432</v>
      </c>
    </row>
    <row r="123" spans="1:70">
      <c r="A123" t="s">
        <v>780</v>
      </c>
      <c r="B123" t="s">
        <v>781</v>
      </c>
      <c r="C123" t="s">
        <v>71</v>
      </c>
      <c r="D123" t="s">
        <v>289</v>
      </c>
      <c r="E123" t="s">
        <v>73</v>
      </c>
      <c r="F123" t="s">
        <v>74</v>
      </c>
      <c r="G123">
        <v>240589</v>
      </c>
      <c r="H123" t="s">
        <v>74</v>
      </c>
      <c r="I123" t="s">
        <v>75</v>
      </c>
      <c r="J123" t="s">
        <v>74</v>
      </c>
      <c r="K123" t="s">
        <v>782</v>
      </c>
      <c r="L123" t="s">
        <v>77</v>
      </c>
      <c r="M123" t="s">
        <v>78</v>
      </c>
      <c r="N123" t="s">
        <v>674</v>
      </c>
      <c r="O123" t="s">
        <v>783</v>
      </c>
      <c r="P123" t="s">
        <v>771</v>
      </c>
      <c r="X123">
        <v>11</v>
      </c>
      <c r="AF123" t="s">
        <v>470</v>
      </c>
      <c r="AG123" t="s">
        <v>296</v>
      </c>
      <c r="AH123" t="s">
        <v>470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1.65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169.95</v>
      </c>
      <c r="BE123">
        <v>0</v>
      </c>
      <c r="BF123">
        <v>440</v>
      </c>
      <c r="BG123">
        <v>0</v>
      </c>
      <c r="BH123">
        <v>0</v>
      </c>
      <c r="BI123">
        <v>88</v>
      </c>
      <c r="BJ123">
        <v>0</v>
      </c>
      <c r="BK123">
        <v>0</v>
      </c>
      <c r="BL123">
        <v>0</v>
      </c>
      <c r="BM123">
        <v>0</v>
      </c>
      <c r="BN123">
        <v>699.6</v>
      </c>
      <c r="BO123">
        <v>111.93</v>
      </c>
      <c r="BP123">
        <v>27.99</v>
      </c>
      <c r="BQ123">
        <f t="shared" si="1"/>
        <v>783.54</v>
      </c>
      <c r="BR123" t="s">
        <v>674</v>
      </c>
    </row>
    <row r="124" spans="1:70">
      <c r="A124" t="s">
        <v>784</v>
      </c>
      <c r="B124" t="s">
        <v>785</v>
      </c>
      <c r="C124" t="s">
        <v>71</v>
      </c>
      <c r="D124" t="s">
        <v>289</v>
      </c>
      <c r="E124" t="s">
        <v>73</v>
      </c>
      <c r="F124" t="s">
        <v>74</v>
      </c>
      <c r="G124">
        <v>240558</v>
      </c>
      <c r="H124" t="s">
        <v>74</v>
      </c>
      <c r="I124" t="s">
        <v>75</v>
      </c>
      <c r="J124" t="s">
        <v>74</v>
      </c>
      <c r="K124" t="s">
        <v>786</v>
      </c>
      <c r="L124" t="s">
        <v>77</v>
      </c>
      <c r="M124" t="s">
        <v>78</v>
      </c>
      <c r="N124" t="s">
        <v>558</v>
      </c>
      <c r="O124" t="s">
        <v>787</v>
      </c>
      <c r="P124" t="s">
        <v>771</v>
      </c>
      <c r="X124">
        <v>7</v>
      </c>
      <c r="AF124" t="s">
        <v>345</v>
      </c>
      <c r="AG124" t="s">
        <v>296</v>
      </c>
      <c r="AH124" t="s">
        <v>345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1.05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323.33</v>
      </c>
      <c r="BE124">
        <v>0</v>
      </c>
      <c r="BF124">
        <v>280</v>
      </c>
      <c r="BG124">
        <v>0</v>
      </c>
      <c r="BH124">
        <v>0</v>
      </c>
      <c r="BI124">
        <v>56</v>
      </c>
      <c r="BJ124">
        <v>0</v>
      </c>
      <c r="BK124">
        <v>0</v>
      </c>
      <c r="BL124">
        <v>0</v>
      </c>
      <c r="BM124">
        <v>0</v>
      </c>
      <c r="BN124">
        <v>660.38</v>
      </c>
      <c r="BO124">
        <v>105.66</v>
      </c>
      <c r="BP124">
        <v>26.41</v>
      </c>
      <c r="BQ124">
        <f t="shared" si="1"/>
        <v>739.63</v>
      </c>
      <c r="BR124" t="s">
        <v>560</v>
      </c>
    </row>
    <row r="125" spans="1:70">
      <c r="A125" t="s">
        <v>788</v>
      </c>
      <c r="B125" t="s">
        <v>789</v>
      </c>
      <c r="C125" t="s">
        <v>71</v>
      </c>
      <c r="D125" t="s">
        <v>289</v>
      </c>
      <c r="E125" t="s">
        <v>73</v>
      </c>
      <c r="F125" t="s">
        <v>74</v>
      </c>
      <c r="G125" t="s">
        <v>790</v>
      </c>
      <c r="H125" t="s">
        <v>74</v>
      </c>
      <c r="I125" t="s">
        <v>75</v>
      </c>
      <c r="J125" t="s">
        <v>74</v>
      </c>
      <c r="K125" t="s">
        <v>791</v>
      </c>
      <c r="L125" t="s">
        <v>77</v>
      </c>
      <c r="M125" t="s">
        <v>78</v>
      </c>
      <c r="N125" t="s">
        <v>792</v>
      </c>
      <c r="O125" t="s">
        <v>793</v>
      </c>
      <c r="P125" t="s">
        <v>771</v>
      </c>
      <c r="X125">
        <v>5</v>
      </c>
      <c r="AF125" t="s">
        <v>333</v>
      </c>
      <c r="AG125" t="s">
        <v>296</v>
      </c>
      <c r="AH125" t="s">
        <v>333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0.75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77.25</v>
      </c>
      <c r="BE125">
        <v>0</v>
      </c>
      <c r="BF125">
        <v>200</v>
      </c>
      <c r="BG125">
        <v>0</v>
      </c>
      <c r="BH125">
        <v>0</v>
      </c>
      <c r="BI125">
        <v>40</v>
      </c>
      <c r="BJ125">
        <v>0</v>
      </c>
      <c r="BK125">
        <v>0</v>
      </c>
      <c r="BL125">
        <v>0</v>
      </c>
      <c r="BM125">
        <v>0</v>
      </c>
      <c r="BN125">
        <v>318</v>
      </c>
      <c r="BO125">
        <v>50.88</v>
      </c>
      <c r="BP125">
        <v>12.72</v>
      </c>
      <c r="BQ125">
        <f t="shared" si="1"/>
        <v>356.15999999999997</v>
      </c>
      <c r="BR125" t="s">
        <v>94</v>
      </c>
    </row>
    <row r="126" spans="1:70">
      <c r="A126" t="s">
        <v>794</v>
      </c>
      <c r="B126" t="s">
        <v>795</v>
      </c>
      <c r="C126" t="s">
        <v>71</v>
      </c>
      <c r="D126" t="s">
        <v>289</v>
      </c>
      <c r="E126" t="s">
        <v>73</v>
      </c>
      <c r="F126" t="s">
        <v>74</v>
      </c>
      <c r="G126">
        <v>240553</v>
      </c>
      <c r="H126" t="s">
        <v>74</v>
      </c>
      <c r="I126" t="s">
        <v>75</v>
      </c>
      <c r="J126" t="s">
        <v>74</v>
      </c>
      <c r="K126" t="s">
        <v>796</v>
      </c>
      <c r="L126" t="s">
        <v>77</v>
      </c>
      <c r="M126" t="s">
        <v>78</v>
      </c>
      <c r="N126" t="s">
        <v>421</v>
      </c>
      <c r="O126" t="s">
        <v>797</v>
      </c>
      <c r="P126" t="s">
        <v>771</v>
      </c>
      <c r="X126">
        <v>12</v>
      </c>
      <c r="AF126" t="s">
        <v>379</v>
      </c>
      <c r="AG126" t="s">
        <v>296</v>
      </c>
      <c r="AH126" t="s">
        <v>379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1.8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554.28</v>
      </c>
      <c r="BE126">
        <v>0</v>
      </c>
      <c r="BF126">
        <v>480</v>
      </c>
      <c r="BG126">
        <v>0</v>
      </c>
      <c r="BH126">
        <v>0</v>
      </c>
      <c r="BI126">
        <v>96</v>
      </c>
      <c r="BJ126">
        <v>0</v>
      </c>
      <c r="BK126">
        <v>0</v>
      </c>
      <c r="BL126">
        <v>0</v>
      </c>
      <c r="BM126">
        <v>0</v>
      </c>
      <c r="BN126">
        <v>1132.08</v>
      </c>
      <c r="BO126">
        <v>181.13</v>
      </c>
      <c r="BP126">
        <v>45.28</v>
      </c>
      <c r="BQ126">
        <f t="shared" si="1"/>
        <v>1267.93</v>
      </c>
      <c r="BR126" t="s">
        <v>423</v>
      </c>
    </row>
    <row r="127" spans="1:70">
      <c r="A127" t="s">
        <v>798</v>
      </c>
      <c r="B127" t="s">
        <v>799</v>
      </c>
      <c r="C127" t="s">
        <v>71</v>
      </c>
      <c r="D127" t="s">
        <v>289</v>
      </c>
      <c r="E127" t="s">
        <v>73</v>
      </c>
      <c r="F127" t="s">
        <v>74</v>
      </c>
      <c r="G127">
        <v>240495</v>
      </c>
      <c r="H127" t="s">
        <v>74</v>
      </c>
      <c r="I127" t="s">
        <v>75</v>
      </c>
      <c r="J127" t="s">
        <v>74</v>
      </c>
      <c r="K127" t="s">
        <v>800</v>
      </c>
      <c r="L127" t="s">
        <v>77</v>
      </c>
      <c r="M127" t="s">
        <v>78</v>
      </c>
      <c r="N127" t="s">
        <v>801</v>
      </c>
      <c r="O127" t="s">
        <v>802</v>
      </c>
      <c r="P127" t="s">
        <v>771</v>
      </c>
      <c r="V127">
        <v>1</v>
      </c>
      <c r="AF127" t="s">
        <v>295</v>
      </c>
      <c r="AG127" t="s">
        <v>296</v>
      </c>
      <c r="AH127" t="s">
        <v>295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0.15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375.85</v>
      </c>
      <c r="BE127">
        <v>0</v>
      </c>
      <c r="BF127">
        <v>40</v>
      </c>
      <c r="BG127">
        <v>0</v>
      </c>
      <c r="BH127">
        <v>0</v>
      </c>
      <c r="BI127">
        <v>8</v>
      </c>
      <c r="BJ127">
        <v>0</v>
      </c>
      <c r="BK127">
        <v>0</v>
      </c>
      <c r="BL127">
        <v>0</v>
      </c>
      <c r="BM127">
        <v>0</v>
      </c>
      <c r="BN127">
        <v>424</v>
      </c>
      <c r="BO127">
        <v>67.84</v>
      </c>
      <c r="BP127">
        <v>16.96</v>
      </c>
      <c r="BQ127">
        <f t="shared" si="1"/>
        <v>474.88000000000005</v>
      </c>
      <c r="BR127" t="s">
        <v>801</v>
      </c>
    </row>
    <row r="128" spans="1:70">
      <c r="A128" t="s">
        <v>803</v>
      </c>
      <c r="B128" t="s">
        <v>804</v>
      </c>
      <c r="C128" t="s">
        <v>71</v>
      </c>
      <c r="D128" t="s">
        <v>289</v>
      </c>
      <c r="E128" t="s">
        <v>73</v>
      </c>
      <c r="F128" t="s">
        <v>74</v>
      </c>
      <c r="G128">
        <v>218685</v>
      </c>
      <c r="H128" t="s">
        <v>74</v>
      </c>
      <c r="I128" t="s">
        <v>75</v>
      </c>
      <c r="J128" t="s">
        <v>74</v>
      </c>
      <c r="K128" t="s">
        <v>805</v>
      </c>
      <c r="L128" t="s">
        <v>77</v>
      </c>
      <c r="M128" t="s">
        <v>78</v>
      </c>
      <c r="N128" t="s">
        <v>801</v>
      </c>
      <c r="O128" t="s">
        <v>806</v>
      </c>
      <c r="P128" t="s">
        <v>807</v>
      </c>
      <c r="T128">
        <v>2</v>
      </c>
      <c r="AF128" t="s">
        <v>808</v>
      </c>
      <c r="AG128" t="s">
        <v>296</v>
      </c>
      <c r="AH128" t="s">
        <v>808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72.92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2142.2600000000002</v>
      </c>
      <c r="BE128">
        <v>0</v>
      </c>
      <c r="BF128">
        <v>916.16</v>
      </c>
      <c r="BG128">
        <v>0</v>
      </c>
      <c r="BH128">
        <v>0</v>
      </c>
      <c r="BI128">
        <v>843.24</v>
      </c>
      <c r="BJ128">
        <v>0</v>
      </c>
      <c r="BK128">
        <v>0</v>
      </c>
      <c r="BL128">
        <v>0</v>
      </c>
      <c r="BM128">
        <v>0</v>
      </c>
      <c r="BN128">
        <v>3974.58</v>
      </c>
      <c r="BO128">
        <v>635.94000000000005</v>
      </c>
      <c r="BP128">
        <v>158.99</v>
      </c>
      <c r="BQ128">
        <f t="shared" si="1"/>
        <v>4451.5300000000007</v>
      </c>
      <c r="BR128" t="s">
        <v>801</v>
      </c>
    </row>
    <row r="129" spans="1:70">
      <c r="A129" t="s">
        <v>809</v>
      </c>
      <c r="B129" t="s">
        <v>810</v>
      </c>
      <c r="C129" t="s">
        <v>71</v>
      </c>
      <c r="D129" t="s">
        <v>289</v>
      </c>
      <c r="E129" t="s">
        <v>73</v>
      </c>
      <c r="F129" t="s">
        <v>74</v>
      </c>
      <c r="G129">
        <v>218712</v>
      </c>
      <c r="H129" t="s">
        <v>74</v>
      </c>
      <c r="I129" t="s">
        <v>75</v>
      </c>
      <c r="J129" t="s">
        <v>74</v>
      </c>
      <c r="K129" t="s">
        <v>811</v>
      </c>
      <c r="L129" t="s">
        <v>77</v>
      </c>
      <c r="M129" t="s">
        <v>78</v>
      </c>
      <c r="N129" t="s">
        <v>258</v>
      </c>
      <c r="O129" t="s">
        <v>812</v>
      </c>
      <c r="P129" t="s">
        <v>807</v>
      </c>
      <c r="T129">
        <v>2</v>
      </c>
      <c r="AF129" t="s">
        <v>808</v>
      </c>
      <c r="AG129" t="s">
        <v>296</v>
      </c>
      <c r="AH129" t="s">
        <v>808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72.92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4587.6400000000003</v>
      </c>
      <c r="BE129">
        <v>0</v>
      </c>
      <c r="BF129">
        <v>916.16</v>
      </c>
      <c r="BG129">
        <v>0</v>
      </c>
      <c r="BH129">
        <v>0</v>
      </c>
      <c r="BI129">
        <v>843.24</v>
      </c>
      <c r="BJ129">
        <v>0</v>
      </c>
      <c r="BK129">
        <v>0</v>
      </c>
      <c r="BL129">
        <v>0</v>
      </c>
      <c r="BM129">
        <v>0</v>
      </c>
      <c r="BN129">
        <v>6419.96</v>
      </c>
      <c r="BO129">
        <v>1027.2</v>
      </c>
      <c r="BP129">
        <v>256.81</v>
      </c>
      <c r="BQ129">
        <f t="shared" si="1"/>
        <v>7190.3499999999995</v>
      </c>
      <c r="BR129" t="s">
        <v>258</v>
      </c>
    </row>
    <row r="130" spans="1:70">
      <c r="A130" t="s">
        <v>813</v>
      </c>
      <c r="B130" t="s">
        <v>814</v>
      </c>
      <c r="C130" t="s">
        <v>71</v>
      </c>
      <c r="D130" t="s">
        <v>289</v>
      </c>
      <c r="E130" t="s">
        <v>73</v>
      </c>
      <c r="F130" t="s">
        <v>74</v>
      </c>
      <c r="G130">
        <v>218699</v>
      </c>
      <c r="H130" t="s">
        <v>74</v>
      </c>
      <c r="I130" t="s">
        <v>75</v>
      </c>
      <c r="J130" t="s">
        <v>74</v>
      </c>
      <c r="K130" t="s">
        <v>815</v>
      </c>
      <c r="L130" t="s">
        <v>77</v>
      </c>
      <c r="M130" t="s">
        <v>78</v>
      </c>
      <c r="N130" t="s">
        <v>816</v>
      </c>
      <c r="O130" t="s">
        <v>817</v>
      </c>
      <c r="P130" t="s">
        <v>807</v>
      </c>
      <c r="X130">
        <v>16</v>
      </c>
      <c r="AF130" t="s">
        <v>482</v>
      </c>
      <c r="AG130" t="s">
        <v>296</v>
      </c>
      <c r="AH130" t="s">
        <v>482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2.4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739.04</v>
      </c>
      <c r="BE130">
        <v>0</v>
      </c>
      <c r="BF130">
        <v>640</v>
      </c>
      <c r="BG130">
        <v>0</v>
      </c>
      <c r="BH130">
        <v>0</v>
      </c>
      <c r="BI130">
        <v>128</v>
      </c>
      <c r="BJ130">
        <v>0</v>
      </c>
      <c r="BK130">
        <v>0</v>
      </c>
      <c r="BL130">
        <v>0</v>
      </c>
      <c r="BM130">
        <v>0</v>
      </c>
      <c r="BN130">
        <v>1509.44</v>
      </c>
      <c r="BO130">
        <v>241.51</v>
      </c>
      <c r="BP130">
        <v>60.38</v>
      </c>
      <c r="BQ130">
        <f t="shared" ref="BQ130:BQ193" si="2">(BN130+BO130-BP130)</f>
        <v>1690.57</v>
      </c>
      <c r="BR130" t="s">
        <v>332</v>
      </c>
    </row>
    <row r="131" spans="1:70">
      <c r="A131" t="s">
        <v>818</v>
      </c>
      <c r="B131" t="s">
        <v>819</v>
      </c>
      <c r="C131" t="s">
        <v>71</v>
      </c>
      <c r="D131" t="s">
        <v>289</v>
      </c>
      <c r="E131" t="s">
        <v>73</v>
      </c>
      <c r="F131" t="s">
        <v>74</v>
      </c>
      <c r="G131">
        <v>218758</v>
      </c>
      <c r="H131" t="s">
        <v>74</v>
      </c>
      <c r="I131" t="s">
        <v>75</v>
      </c>
      <c r="J131" t="s">
        <v>74</v>
      </c>
      <c r="K131" t="s">
        <v>820</v>
      </c>
      <c r="L131" t="s">
        <v>77</v>
      </c>
      <c r="M131" t="s">
        <v>78</v>
      </c>
      <c r="N131" t="s">
        <v>821</v>
      </c>
      <c r="O131" t="s">
        <v>822</v>
      </c>
      <c r="P131" t="s">
        <v>807</v>
      </c>
      <c r="T131">
        <v>1</v>
      </c>
      <c r="AF131" t="s">
        <v>823</v>
      </c>
      <c r="AG131" t="s">
        <v>296</v>
      </c>
      <c r="AH131" t="s">
        <v>823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36.46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1071.1300000000001</v>
      </c>
      <c r="BE131">
        <v>0</v>
      </c>
      <c r="BF131">
        <v>458.08</v>
      </c>
      <c r="BG131">
        <v>0</v>
      </c>
      <c r="BH131">
        <v>0</v>
      </c>
      <c r="BI131">
        <v>421.62</v>
      </c>
      <c r="BJ131">
        <v>0</v>
      </c>
      <c r="BK131">
        <v>0</v>
      </c>
      <c r="BL131">
        <v>0</v>
      </c>
      <c r="BM131">
        <v>0</v>
      </c>
      <c r="BN131">
        <v>1987.29</v>
      </c>
      <c r="BO131">
        <v>317.95999999999998</v>
      </c>
      <c r="BP131">
        <v>79.489999999999995</v>
      </c>
      <c r="BQ131">
        <f t="shared" si="2"/>
        <v>2225.7600000000002</v>
      </c>
      <c r="BR131" t="s">
        <v>801</v>
      </c>
    </row>
    <row r="132" spans="1:70">
      <c r="A132" t="s">
        <v>824</v>
      </c>
      <c r="B132" t="s">
        <v>825</v>
      </c>
      <c r="C132" t="s">
        <v>71</v>
      </c>
      <c r="D132" t="s">
        <v>289</v>
      </c>
      <c r="E132" t="s">
        <v>73</v>
      </c>
      <c r="F132" t="s">
        <v>74</v>
      </c>
      <c r="G132">
        <v>218594</v>
      </c>
      <c r="H132" t="s">
        <v>74</v>
      </c>
      <c r="I132" t="s">
        <v>75</v>
      </c>
      <c r="J132" t="s">
        <v>74</v>
      </c>
      <c r="K132" t="s">
        <v>826</v>
      </c>
      <c r="L132" t="s">
        <v>77</v>
      </c>
      <c r="M132" t="s">
        <v>78</v>
      </c>
      <c r="N132" t="s">
        <v>524</v>
      </c>
      <c r="O132" t="s">
        <v>827</v>
      </c>
      <c r="P132" t="s">
        <v>807</v>
      </c>
      <c r="T132">
        <v>2</v>
      </c>
      <c r="AF132" t="s">
        <v>808</v>
      </c>
      <c r="AG132" t="s">
        <v>296</v>
      </c>
      <c r="AH132" t="s">
        <v>808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72.92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2142.2600000000002</v>
      </c>
      <c r="BE132">
        <v>0</v>
      </c>
      <c r="BF132">
        <v>916.16</v>
      </c>
      <c r="BG132">
        <v>0</v>
      </c>
      <c r="BH132">
        <v>0</v>
      </c>
      <c r="BI132">
        <v>843.24</v>
      </c>
      <c r="BJ132">
        <v>0</v>
      </c>
      <c r="BK132">
        <v>0</v>
      </c>
      <c r="BL132">
        <v>0</v>
      </c>
      <c r="BM132">
        <v>0</v>
      </c>
      <c r="BN132">
        <v>3974.58</v>
      </c>
      <c r="BO132">
        <v>635.94000000000005</v>
      </c>
      <c r="BP132">
        <v>158.99</v>
      </c>
      <c r="BQ132">
        <f t="shared" si="2"/>
        <v>4451.5300000000007</v>
      </c>
      <c r="BR132" t="s">
        <v>524</v>
      </c>
    </row>
    <row r="133" spans="1:70">
      <c r="A133" t="s">
        <v>828</v>
      </c>
      <c r="B133" t="s">
        <v>829</v>
      </c>
      <c r="C133" t="s">
        <v>71</v>
      </c>
      <c r="D133" t="s">
        <v>289</v>
      </c>
      <c r="E133" t="s">
        <v>73</v>
      </c>
      <c r="F133" t="s">
        <v>74</v>
      </c>
      <c r="G133" t="s">
        <v>830</v>
      </c>
      <c r="H133" t="s">
        <v>74</v>
      </c>
      <c r="I133" t="s">
        <v>75</v>
      </c>
      <c r="J133" t="s">
        <v>74</v>
      </c>
      <c r="K133" t="s">
        <v>831</v>
      </c>
      <c r="L133" t="s">
        <v>77</v>
      </c>
      <c r="M133" t="s">
        <v>78</v>
      </c>
      <c r="N133" t="s">
        <v>832</v>
      </c>
      <c r="O133" t="s">
        <v>833</v>
      </c>
      <c r="P133" t="s">
        <v>807</v>
      </c>
      <c r="V133">
        <v>1</v>
      </c>
      <c r="AF133" t="s">
        <v>295</v>
      </c>
      <c r="AG133" t="s">
        <v>296</v>
      </c>
      <c r="AH133" t="s">
        <v>295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0.15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375.85</v>
      </c>
      <c r="BE133">
        <v>0</v>
      </c>
      <c r="BF133">
        <v>40</v>
      </c>
      <c r="BG133">
        <v>0</v>
      </c>
      <c r="BH133">
        <v>0</v>
      </c>
      <c r="BI133">
        <v>8</v>
      </c>
      <c r="BJ133">
        <v>0</v>
      </c>
      <c r="BK133">
        <v>0</v>
      </c>
      <c r="BL133">
        <v>0</v>
      </c>
      <c r="BM133">
        <v>0</v>
      </c>
      <c r="BN133">
        <v>424</v>
      </c>
      <c r="BO133">
        <v>67.84</v>
      </c>
      <c r="BP133">
        <v>16.96</v>
      </c>
      <c r="BQ133">
        <f t="shared" si="2"/>
        <v>474.88000000000005</v>
      </c>
      <c r="BR133" t="s">
        <v>832</v>
      </c>
    </row>
    <row r="134" spans="1:70">
      <c r="A134" t="s">
        <v>834</v>
      </c>
      <c r="B134" t="s">
        <v>835</v>
      </c>
      <c r="C134" t="s">
        <v>71</v>
      </c>
      <c r="D134" t="s">
        <v>289</v>
      </c>
      <c r="E134" t="s">
        <v>73</v>
      </c>
      <c r="F134" t="s">
        <v>74</v>
      </c>
      <c r="G134">
        <v>218676</v>
      </c>
      <c r="H134" t="s">
        <v>74</v>
      </c>
      <c r="I134" t="s">
        <v>75</v>
      </c>
      <c r="J134" t="s">
        <v>74</v>
      </c>
      <c r="K134" t="s">
        <v>836</v>
      </c>
      <c r="L134" t="s">
        <v>77</v>
      </c>
      <c r="M134" t="s">
        <v>78</v>
      </c>
      <c r="N134" t="s">
        <v>161</v>
      </c>
      <c r="O134" t="s">
        <v>837</v>
      </c>
      <c r="P134" t="s">
        <v>807</v>
      </c>
      <c r="T134">
        <v>1</v>
      </c>
      <c r="AF134" t="s">
        <v>823</v>
      </c>
      <c r="AG134" t="s">
        <v>296</v>
      </c>
      <c r="AH134" t="s">
        <v>823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36.46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1071.1300000000001</v>
      </c>
      <c r="BE134">
        <v>0</v>
      </c>
      <c r="BF134">
        <v>458.08</v>
      </c>
      <c r="BG134">
        <v>0</v>
      </c>
      <c r="BH134">
        <v>0</v>
      </c>
      <c r="BI134">
        <v>421.62</v>
      </c>
      <c r="BJ134">
        <v>0</v>
      </c>
      <c r="BK134">
        <v>0</v>
      </c>
      <c r="BL134">
        <v>0</v>
      </c>
      <c r="BM134">
        <v>0</v>
      </c>
      <c r="BN134">
        <v>1987.29</v>
      </c>
      <c r="BO134">
        <v>317.95999999999998</v>
      </c>
      <c r="BP134">
        <v>79.489999999999995</v>
      </c>
      <c r="BQ134">
        <f t="shared" si="2"/>
        <v>2225.7600000000002</v>
      </c>
      <c r="BR134" t="s">
        <v>83</v>
      </c>
    </row>
    <row r="135" spans="1:70">
      <c r="A135" t="s">
        <v>838</v>
      </c>
      <c r="B135" t="s">
        <v>839</v>
      </c>
      <c r="C135" t="s">
        <v>71</v>
      </c>
      <c r="D135" t="s">
        <v>289</v>
      </c>
      <c r="E135" t="s">
        <v>73</v>
      </c>
      <c r="F135" t="s">
        <v>74</v>
      </c>
      <c r="G135">
        <v>240599</v>
      </c>
      <c r="H135" t="s">
        <v>74</v>
      </c>
      <c r="I135" t="s">
        <v>75</v>
      </c>
      <c r="J135" t="s">
        <v>74</v>
      </c>
      <c r="K135" t="s">
        <v>840</v>
      </c>
      <c r="L135" t="s">
        <v>77</v>
      </c>
      <c r="M135" t="s">
        <v>78</v>
      </c>
      <c r="N135" t="s">
        <v>330</v>
      </c>
      <c r="O135" t="s">
        <v>841</v>
      </c>
      <c r="P135" t="s">
        <v>807</v>
      </c>
      <c r="X135">
        <v>13</v>
      </c>
      <c r="AF135" t="s">
        <v>434</v>
      </c>
      <c r="AG135" t="s">
        <v>296</v>
      </c>
      <c r="AH135" t="s">
        <v>434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1.95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600.47</v>
      </c>
      <c r="BE135">
        <v>0</v>
      </c>
      <c r="BF135">
        <v>520</v>
      </c>
      <c r="BG135">
        <v>0</v>
      </c>
      <c r="BH135">
        <v>0</v>
      </c>
      <c r="BI135">
        <v>104</v>
      </c>
      <c r="BJ135">
        <v>0</v>
      </c>
      <c r="BK135">
        <v>0</v>
      </c>
      <c r="BL135">
        <v>0</v>
      </c>
      <c r="BM135">
        <v>0</v>
      </c>
      <c r="BN135">
        <v>1226.42</v>
      </c>
      <c r="BO135">
        <v>196.23</v>
      </c>
      <c r="BP135">
        <v>49.06</v>
      </c>
      <c r="BQ135">
        <f t="shared" si="2"/>
        <v>1373.5900000000001</v>
      </c>
      <c r="BR135" t="s">
        <v>332</v>
      </c>
    </row>
    <row r="136" spans="1:70">
      <c r="A136" t="s">
        <v>842</v>
      </c>
      <c r="B136" t="s">
        <v>843</v>
      </c>
      <c r="C136" t="s">
        <v>71</v>
      </c>
      <c r="D136" t="s">
        <v>289</v>
      </c>
      <c r="E136" t="s">
        <v>73</v>
      </c>
      <c r="F136" t="s">
        <v>74</v>
      </c>
      <c r="G136">
        <v>240601</v>
      </c>
      <c r="H136" t="s">
        <v>74</v>
      </c>
      <c r="I136" t="s">
        <v>75</v>
      </c>
      <c r="J136" t="s">
        <v>74</v>
      </c>
      <c r="K136" t="s">
        <v>844</v>
      </c>
      <c r="L136" t="s">
        <v>77</v>
      </c>
      <c r="M136" t="s">
        <v>78</v>
      </c>
      <c r="N136" t="s">
        <v>330</v>
      </c>
      <c r="O136" t="s">
        <v>845</v>
      </c>
      <c r="P136" t="s">
        <v>807</v>
      </c>
      <c r="X136">
        <v>20</v>
      </c>
      <c r="AF136" t="s">
        <v>384</v>
      </c>
      <c r="AG136" t="s">
        <v>296</v>
      </c>
      <c r="AH136" t="s">
        <v>384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3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923.8</v>
      </c>
      <c r="BE136">
        <v>0</v>
      </c>
      <c r="BF136">
        <v>800</v>
      </c>
      <c r="BG136">
        <v>0</v>
      </c>
      <c r="BH136">
        <v>0</v>
      </c>
      <c r="BI136">
        <v>160</v>
      </c>
      <c r="BJ136">
        <v>0</v>
      </c>
      <c r="BK136">
        <v>0</v>
      </c>
      <c r="BL136">
        <v>0</v>
      </c>
      <c r="BM136">
        <v>0</v>
      </c>
      <c r="BN136">
        <v>1886.8</v>
      </c>
      <c r="BO136">
        <v>301.89</v>
      </c>
      <c r="BP136">
        <v>75.47</v>
      </c>
      <c r="BQ136">
        <f t="shared" si="2"/>
        <v>2113.2200000000003</v>
      </c>
      <c r="BR136" t="s">
        <v>332</v>
      </c>
    </row>
    <row r="137" spans="1:70">
      <c r="A137" t="s">
        <v>846</v>
      </c>
      <c r="B137" t="s">
        <v>847</v>
      </c>
      <c r="C137" t="s">
        <v>71</v>
      </c>
      <c r="D137" t="s">
        <v>289</v>
      </c>
      <c r="E137" t="s">
        <v>73</v>
      </c>
      <c r="F137" t="s">
        <v>74</v>
      </c>
      <c r="G137">
        <v>240606</v>
      </c>
      <c r="H137" t="s">
        <v>74</v>
      </c>
      <c r="I137" t="s">
        <v>75</v>
      </c>
      <c r="J137" t="s">
        <v>74</v>
      </c>
      <c r="K137" t="s">
        <v>848</v>
      </c>
      <c r="L137" t="s">
        <v>77</v>
      </c>
      <c r="M137" t="s">
        <v>78</v>
      </c>
      <c r="N137" t="s">
        <v>337</v>
      </c>
      <c r="O137" t="s">
        <v>849</v>
      </c>
      <c r="P137" t="s">
        <v>807</v>
      </c>
      <c r="X137">
        <v>11</v>
      </c>
      <c r="AF137" t="s">
        <v>470</v>
      </c>
      <c r="AG137" t="s">
        <v>296</v>
      </c>
      <c r="AH137" t="s">
        <v>470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1.65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508.09</v>
      </c>
      <c r="BE137">
        <v>0</v>
      </c>
      <c r="BF137">
        <v>440</v>
      </c>
      <c r="BG137">
        <v>0</v>
      </c>
      <c r="BH137">
        <v>0</v>
      </c>
      <c r="BI137">
        <v>88</v>
      </c>
      <c r="BJ137">
        <v>0</v>
      </c>
      <c r="BK137">
        <v>0</v>
      </c>
      <c r="BL137">
        <v>0</v>
      </c>
      <c r="BM137">
        <v>0</v>
      </c>
      <c r="BN137">
        <v>1037.74</v>
      </c>
      <c r="BO137">
        <v>166.03</v>
      </c>
      <c r="BP137">
        <v>41.51</v>
      </c>
      <c r="BQ137">
        <f t="shared" si="2"/>
        <v>1162.26</v>
      </c>
      <c r="BR137" t="s">
        <v>337</v>
      </c>
    </row>
    <row r="138" spans="1:70">
      <c r="A138" t="s">
        <v>850</v>
      </c>
      <c r="B138" t="s">
        <v>851</v>
      </c>
      <c r="C138" t="s">
        <v>71</v>
      </c>
      <c r="D138" t="s">
        <v>289</v>
      </c>
      <c r="E138" t="s">
        <v>73</v>
      </c>
      <c r="F138" t="s">
        <v>74</v>
      </c>
      <c r="G138">
        <v>240609</v>
      </c>
      <c r="H138" t="s">
        <v>74</v>
      </c>
      <c r="I138" t="s">
        <v>75</v>
      </c>
      <c r="J138" t="s">
        <v>74</v>
      </c>
      <c r="K138" t="s">
        <v>852</v>
      </c>
      <c r="L138" t="s">
        <v>77</v>
      </c>
      <c r="M138" t="s">
        <v>78</v>
      </c>
      <c r="N138" t="s">
        <v>175</v>
      </c>
      <c r="O138" t="s">
        <v>853</v>
      </c>
      <c r="P138" t="s">
        <v>807</v>
      </c>
      <c r="X138">
        <v>20</v>
      </c>
      <c r="AF138" t="s">
        <v>384</v>
      </c>
      <c r="AG138" t="s">
        <v>296</v>
      </c>
      <c r="AH138" t="s">
        <v>384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3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923.8</v>
      </c>
      <c r="BE138">
        <v>0</v>
      </c>
      <c r="BF138">
        <v>800</v>
      </c>
      <c r="BG138">
        <v>0</v>
      </c>
      <c r="BH138">
        <v>0</v>
      </c>
      <c r="BI138">
        <v>160</v>
      </c>
      <c r="BJ138">
        <v>0</v>
      </c>
      <c r="BK138">
        <v>0</v>
      </c>
      <c r="BL138">
        <v>0</v>
      </c>
      <c r="BM138">
        <v>0</v>
      </c>
      <c r="BN138">
        <v>1886.8</v>
      </c>
      <c r="BO138">
        <v>301.89</v>
      </c>
      <c r="BP138">
        <v>75.47</v>
      </c>
      <c r="BQ138">
        <f t="shared" si="2"/>
        <v>2113.2200000000003</v>
      </c>
      <c r="BR138" t="s">
        <v>175</v>
      </c>
    </row>
    <row r="139" spans="1:70">
      <c r="A139" t="s">
        <v>854</v>
      </c>
      <c r="B139" t="s">
        <v>855</v>
      </c>
      <c r="C139" t="s">
        <v>71</v>
      </c>
      <c r="D139" t="s">
        <v>289</v>
      </c>
      <c r="E139" t="s">
        <v>73</v>
      </c>
      <c r="F139" t="s">
        <v>74</v>
      </c>
      <c r="G139">
        <v>240610</v>
      </c>
      <c r="H139" t="s">
        <v>74</v>
      </c>
      <c r="I139" t="s">
        <v>75</v>
      </c>
      <c r="J139" t="s">
        <v>74</v>
      </c>
      <c r="K139" t="s">
        <v>856</v>
      </c>
      <c r="L139" t="s">
        <v>77</v>
      </c>
      <c r="M139" t="s">
        <v>78</v>
      </c>
      <c r="N139" t="s">
        <v>591</v>
      </c>
      <c r="O139" t="s">
        <v>857</v>
      </c>
      <c r="P139" t="s">
        <v>807</v>
      </c>
      <c r="X139">
        <v>9</v>
      </c>
      <c r="AF139" t="s">
        <v>407</v>
      </c>
      <c r="AG139" t="s">
        <v>296</v>
      </c>
      <c r="AH139" t="s">
        <v>407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1.35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415.71</v>
      </c>
      <c r="BE139">
        <v>0</v>
      </c>
      <c r="BF139">
        <v>360</v>
      </c>
      <c r="BG139">
        <v>0</v>
      </c>
      <c r="BH139">
        <v>0</v>
      </c>
      <c r="BI139">
        <v>72</v>
      </c>
      <c r="BJ139">
        <v>0</v>
      </c>
      <c r="BK139">
        <v>0</v>
      </c>
      <c r="BL139">
        <v>0</v>
      </c>
      <c r="BM139">
        <v>0</v>
      </c>
      <c r="BN139">
        <v>849.06</v>
      </c>
      <c r="BO139">
        <v>135.85</v>
      </c>
      <c r="BP139">
        <v>33.96</v>
      </c>
      <c r="BQ139">
        <f t="shared" si="2"/>
        <v>950.94999999999993</v>
      </c>
      <c r="BR139" t="s">
        <v>591</v>
      </c>
    </row>
    <row r="140" spans="1:70">
      <c r="A140" t="s">
        <v>858</v>
      </c>
      <c r="B140" t="s">
        <v>859</v>
      </c>
      <c r="C140" t="s">
        <v>71</v>
      </c>
      <c r="D140" t="s">
        <v>289</v>
      </c>
      <c r="E140" t="s">
        <v>73</v>
      </c>
      <c r="F140" t="s">
        <v>74</v>
      </c>
      <c r="G140">
        <v>240620</v>
      </c>
      <c r="H140" t="s">
        <v>74</v>
      </c>
      <c r="I140" t="s">
        <v>75</v>
      </c>
      <c r="J140" t="s">
        <v>74</v>
      </c>
      <c r="K140" t="s">
        <v>860</v>
      </c>
      <c r="L140" t="s">
        <v>77</v>
      </c>
      <c r="M140" t="s">
        <v>78</v>
      </c>
      <c r="N140" t="s">
        <v>861</v>
      </c>
      <c r="O140" t="s">
        <v>862</v>
      </c>
      <c r="P140" t="s">
        <v>807</v>
      </c>
      <c r="X140">
        <v>12</v>
      </c>
      <c r="AF140" t="s">
        <v>379</v>
      </c>
      <c r="AG140" t="s">
        <v>296</v>
      </c>
      <c r="AH140" t="s">
        <v>379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1.8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554.28</v>
      </c>
      <c r="BE140">
        <v>0</v>
      </c>
      <c r="BF140">
        <v>480</v>
      </c>
      <c r="BG140">
        <v>0</v>
      </c>
      <c r="BH140">
        <v>0</v>
      </c>
      <c r="BI140">
        <v>96</v>
      </c>
      <c r="BJ140">
        <v>0</v>
      </c>
      <c r="BK140">
        <v>0</v>
      </c>
      <c r="BL140">
        <v>0</v>
      </c>
      <c r="BM140">
        <v>0</v>
      </c>
      <c r="BN140">
        <v>1132.08</v>
      </c>
      <c r="BO140">
        <v>181.13</v>
      </c>
      <c r="BP140">
        <v>45.28</v>
      </c>
      <c r="BQ140">
        <f t="shared" si="2"/>
        <v>1267.93</v>
      </c>
      <c r="BR140" t="s">
        <v>258</v>
      </c>
    </row>
    <row r="141" spans="1:70">
      <c r="A141" t="s">
        <v>863</v>
      </c>
      <c r="B141" t="s">
        <v>864</v>
      </c>
      <c r="C141" t="s">
        <v>71</v>
      </c>
      <c r="D141" t="s">
        <v>289</v>
      </c>
      <c r="E141" t="s">
        <v>73</v>
      </c>
      <c r="F141" t="s">
        <v>74</v>
      </c>
      <c r="G141">
        <v>240628</v>
      </c>
      <c r="H141" t="s">
        <v>74</v>
      </c>
      <c r="I141" t="s">
        <v>75</v>
      </c>
      <c r="J141" t="s">
        <v>74</v>
      </c>
      <c r="K141" t="s">
        <v>865</v>
      </c>
      <c r="L141" t="s">
        <v>77</v>
      </c>
      <c r="M141" t="s">
        <v>78</v>
      </c>
      <c r="N141" t="s">
        <v>866</v>
      </c>
      <c r="O141" t="s">
        <v>867</v>
      </c>
      <c r="P141" t="s">
        <v>807</v>
      </c>
      <c r="X141">
        <v>27</v>
      </c>
      <c r="AF141" t="s">
        <v>868</v>
      </c>
      <c r="AG141" t="s">
        <v>296</v>
      </c>
      <c r="AH141" t="s">
        <v>868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4.05</v>
      </c>
      <c r="AT141">
        <v>0</v>
      </c>
      <c r="AU141">
        <v>0</v>
      </c>
      <c r="AV141">
        <v>709.83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1247.1300000000001</v>
      </c>
      <c r="BE141">
        <v>0</v>
      </c>
      <c r="BF141">
        <v>1080</v>
      </c>
      <c r="BG141">
        <v>0</v>
      </c>
      <c r="BH141">
        <v>0</v>
      </c>
      <c r="BI141">
        <v>216</v>
      </c>
      <c r="BJ141">
        <v>0</v>
      </c>
      <c r="BK141">
        <v>0</v>
      </c>
      <c r="BL141">
        <v>0</v>
      </c>
      <c r="BM141">
        <v>0</v>
      </c>
      <c r="BN141">
        <v>3257.01</v>
      </c>
      <c r="BO141">
        <v>521.12</v>
      </c>
      <c r="BP141">
        <v>101.89</v>
      </c>
      <c r="BQ141">
        <f t="shared" si="2"/>
        <v>3676.2400000000002</v>
      </c>
      <c r="BR141" t="s">
        <v>866</v>
      </c>
    </row>
    <row r="142" spans="1:70">
      <c r="A142" t="s">
        <v>869</v>
      </c>
      <c r="B142" t="s">
        <v>870</v>
      </c>
      <c r="C142" t="s">
        <v>71</v>
      </c>
      <c r="D142" t="s">
        <v>289</v>
      </c>
      <c r="E142" t="s">
        <v>73</v>
      </c>
      <c r="F142" t="s">
        <v>74</v>
      </c>
      <c r="G142">
        <v>240632</v>
      </c>
      <c r="H142" t="s">
        <v>74</v>
      </c>
      <c r="I142" t="s">
        <v>75</v>
      </c>
      <c r="J142" t="s">
        <v>74</v>
      </c>
      <c r="K142" t="s">
        <v>871</v>
      </c>
      <c r="L142" t="s">
        <v>77</v>
      </c>
      <c r="M142" t="s">
        <v>78</v>
      </c>
      <c r="N142" t="s">
        <v>674</v>
      </c>
      <c r="O142" t="s">
        <v>872</v>
      </c>
      <c r="P142" t="s">
        <v>807</v>
      </c>
      <c r="AD142">
        <v>4</v>
      </c>
      <c r="AF142" t="s">
        <v>326</v>
      </c>
      <c r="AG142" t="s">
        <v>296</v>
      </c>
      <c r="AH142" t="s">
        <v>326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0.6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231.4</v>
      </c>
      <c r="BE142">
        <v>0</v>
      </c>
      <c r="BF142">
        <v>160</v>
      </c>
      <c r="BG142">
        <v>0</v>
      </c>
      <c r="BH142">
        <v>0</v>
      </c>
      <c r="BI142">
        <v>32</v>
      </c>
      <c r="BJ142">
        <v>0</v>
      </c>
      <c r="BK142">
        <v>0</v>
      </c>
      <c r="BL142">
        <v>0</v>
      </c>
      <c r="BM142">
        <v>0</v>
      </c>
      <c r="BN142">
        <v>424</v>
      </c>
      <c r="BO142">
        <v>67.84</v>
      </c>
      <c r="BP142">
        <v>16.96</v>
      </c>
      <c r="BQ142">
        <f t="shared" si="2"/>
        <v>474.88000000000005</v>
      </c>
      <c r="BR142" t="s">
        <v>674</v>
      </c>
    </row>
    <row r="143" spans="1:70">
      <c r="A143" t="s">
        <v>873</v>
      </c>
      <c r="B143" t="s">
        <v>874</v>
      </c>
      <c r="C143" t="s">
        <v>71</v>
      </c>
      <c r="D143" t="s">
        <v>289</v>
      </c>
      <c r="E143" t="s">
        <v>73</v>
      </c>
      <c r="F143" t="s">
        <v>74</v>
      </c>
      <c r="G143">
        <v>240634</v>
      </c>
      <c r="H143" t="s">
        <v>74</v>
      </c>
      <c r="I143" t="s">
        <v>75</v>
      </c>
      <c r="J143" t="s">
        <v>74</v>
      </c>
      <c r="K143" t="s">
        <v>875</v>
      </c>
      <c r="L143" t="s">
        <v>77</v>
      </c>
      <c r="M143" t="s">
        <v>78</v>
      </c>
      <c r="N143" t="s">
        <v>832</v>
      </c>
      <c r="O143" t="s">
        <v>876</v>
      </c>
      <c r="P143" t="s">
        <v>807</v>
      </c>
      <c r="X143">
        <v>5</v>
      </c>
      <c r="AF143" t="s">
        <v>333</v>
      </c>
      <c r="AG143" t="s">
        <v>296</v>
      </c>
      <c r="AH143" t="s">
        <v>333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0.75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77.25</v>
      </c>
      <c r="BE143">
        <v>0</v>
      </c>
      <c r="BF143">
        <v>200</v>
      </c>
      <c r="BG143">
        <v>0</v>
      </c>
      <c r="BH143">
        <v>0</v>
      </c>
      <c r="BI143">
        <v>40</v>
      </c>
      <c r="BJ143">
        <v>0</v>
      </c>
      <c r="BK143">
        <v>0</v>
      </c>
      <c r="BL143">
        <v>0</v>
      </c>
      <c r="BM143">
        <v>0</v>
      </c>
      <c r="BN143">
        <v>318</v>
      </c>
      <c r="BO143">
        <v>50.88</v>
      </c>
      <c r="BP143">
        <v>12.72</v>
      </c>
      <c r="BQ143">
        <f t="shared" si="2"/>
        <v>356.15999999999997</v>
      </c>
      <c r="BR143" t="s">
        <v>832</v>
      </c>
    </row>
    <row r="144" spans="1:70">
      <c r="A144" t="s">
        <v>877</v>
      </c>
      <c r="B144" t="s">
        <v>878</v>
      </c>
      <c r="C144" t="s">
        <v>71</v>
      </c>
      <c r="D144" t="s">
        <v>289</v>
      </c>
      <c r="E144" t="s">
        <v>73</v>
      </c>
      <c r="F144" t="s">
        <v>74</v>
      </c>
      <c r="G144">
        <v>240635</v>
      </c>
      <c r="H144" t="s">
        <v>74</v>
      </c>
      <c r="I144" t="s">
        <v>75</v>
      </c>
      <c r="J144" t="s">
        <v>74</v>
      </c>
      <c r="K144" t="s">
        <v>879</v>
      </c>
      <c r="L144" t="s">
        <v>77</v>
      </c>
      <c r="M144" t="s">
        <v>78</v>
      </c>
      <c r="N144" t="s">
        <v>880</v>
      </c>
      <c r="O144" t="s">
        <v>881</v>
      </c>
      <c r="P144" t="s">
        <v>807</v>
      </c>
      <c r="X144">
        <v>7</v>
      </c>
      <c r="AF144" t="s">
        <v>345</v>
      </c>
      <c r="AG144" t="s">
        <v>296</v>
      </c>
      <c r="AH144" t="s">
        <v>345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1.05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323.33</v>
      </c>
      <c r="BE144">
        <v>0</v>
      </c>
      <c r="BF144">
        <v>280</v>
      </c>
      <c r="BG144">
        <v>0</v>
      </c>
      <c r="BH144">
        <v>0</v>
      </c>
      <c r="BI144">
        <v>56</v>
      </c>
      <c r="BJ144">
        <v>0</v>
      </c>
      <c r="BK144">
        <v>0</v>
      </c>
      <c r="BL144">
        <v>0</v>
      </c>
      <c r="BM144">
        <v>0</v>
      </c>
      <c r="BN144">
        <v>660.38</v>
      </c>
      <c r="BO144">
        <v>105.66</v>
      </c>
      <c r="BP144">
        <v>26.41</v>
      </c>
      <c r="BQ144">
        <f t="shared" si="2"/>
        <v>739.63</v>
      </c>
      <c r="BR144" t="s">
        <v>880</v>
      </c>
    </row>
    <row r="145" spans="1:70">
      <c r="A145" t="s">
        <v>882</v>
      </c>
      <c r="B145" t="s">
        <v>883</v>
      </c>
      <c r="C145" t="s">
        <v>71</v>
      </c>
      <c r="D145" t="s">
        <v>289</v>
      </c>
      <c r="E145" t="s">
        <v>73</v>
      </c>
      <c r="F145" t="s">
        <v>74</v>
      </c>
      <c r="G145">
        <v>240564</v>
      </c>
      <c r="H145" t="s">
        <v>74</v>
      </c>
      <c r="I145" t="s">
        <v>75</v>
      </c>
      <c r="J145" t="s">
        <v>74</v>
      </c>
      <c r="K145" t="s">
        <v>884</v>
      </c>
      <c r="L145" t="s">
        <v>77</v>
      </c>
      <c r="M145" t="s">
        <v>78</v>
      </c>
      <c r="N145" t="s">
        <v>191</v>
      </c>
      <c r="O145" t="s">
        <v>885</v>
      </c>
      <c r="P145" t="s">
        <v>807</v>
      </c>
      <c r="X145">
        <v>20</v>
      </c>
      <c r="AF145" t="s">
        <v>384</v>
      </c>
      <c r="AG145" t="s">
        <v>296</v>
      </c>
      <c r="AH145" t="s">
        <v>384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3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923.8</v>
      </c>
      <c r="BE145">
        <v>0</v>
      </c>
      <c r="BF145">
        <v>800</v>
      </c>
      <c r="BG145">
        <v>0</v>
      </c>
      <c r="BH145">
        <v>0</v>
      </c>
      <c r="BI145">
        <v>160</v>
      </c>
      <c r="BJ145">
        <v>0</v>
      </c>
      <c r="BK145">
        <v>0</v>
      </c>
      <c r="BL145">
        <v>0</v>
      </c>
      <c r="BM145">
        <v>0</v>
      </c>
      <c r="BN145">
        <v>1886.8</v>
      </c>
      <c r="BO145">
        <v>301.89</v>
      </c>
      <c r="BP145">
        <v>75.47</v>
      </c>
      <c r="BQ145">
        <f t="shared" si="2"/>
        <v>2113.2200000000003</v>
      </c>
      <c r="BR145" t="s">
        <v>195</v>
      </c>
    </row>
    <row r="146" spans="1:70">
      <c r="A146" t="s">
        <v>886</v>
      </c>
      <c r="B146" t="s">
        <v>887</v>
      </c>
      <c r="C146" t="s">
        <v>71</v>
      </c>
      <c r="D146" t="s">
        <v>289</v>
      </c>
      <c r="E146" t="s">
        <v>73</v>
      </c>
      <c r="F146" t="s">
        <v>74</v>
      </c>
      <c r="G146">
        <v>240615</v>
      </c>
      <c r="H146" t="s">
        <v>74</v>
      </c>
      <c r="I146" t="s">
        <v>75</v>
      </c>
      <c r="J146" t="s">
        <v>74</v>
      </c>
      <c r="K146" t="s">
        <v>888</v>
      </c>
      <c r="L146" t="s">
        <v>77</v>
      </c>
      <c r="M146" t="s">
        <v>78</v>
      </c>
      <c r="N146" t="s">
        <v>494</v>
      </c>
      <c r="O146" t="s">
        <v>889</v>
      </c>
      <c r="P146" t="s">
        <v>807</v>
      </c>
      <c r="Z146">
        <v>2</v>
      </c>
      <c r="AF146" t="s">
        <v>339</v>
      </c>
      <c r="AG146" t="s">
        <v>296</v>
      </c>
      <c r="AH146" t="s">
        <v>339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0.3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375.4</v>
      </c>
      <c r="BE146">
        <v>0</v>
      </c>
      <c r="BF146">
        <v>80</v>
      </c>
      <c r="BG146">
        <v>0</v>
      </c>
      <c r="BH146">
        <v>0</v>
      </c>
      <c r="BI146">
        <v>16</v>
      </c>
      <c r="BJ146">
        <v>0</v>
      </c>
      <c r="BK146">
        <v>0</v>
      </c>
      <c r="BL146">
        <v>0</v>
      </c>
      <c r="BM146">
        <v>0</v>
      </c>
      <c r="BN146">
        <v>471.7</v>
      </c>
      <c r="BO146">
        <v>75.47</v>
      </c>
      <c r="BP146">
        <v>18.87</v>
      </c>
      <c r="BQ146">
        <f t="shared" si="2"/>
        <v>528.29999999999995</v>
      </c>
      <c r="BR146" t="s">
        <v>494</v>
      </c>
    </row>
    <row r="147" spans="1:70">
      <c r="A147" t="s">
        <v>890</v>
      </c>
      <c r="B147" t="s">
        <v>891</v>
      </c>
      <c r="C147" t="s">
        <v>71</v>
      </c>
      <c r="D147" t="s">
        <v>289</v>
      </c>
      <c r="E147" t="s">
        <v>73</v>
      </c>
      <c r="F147" t="s">
        <v>74</v>
      </c>
      <c r="G147">
        <v>240702</v>
      </c>
      <c r="H147" t="s">
        <v>74</v>
      </c>
      <c r="I147" t="s">
        <v>75</v>
      </c>
      <c r="J147" t="s">
        <v>74</v>
      </c>
      <c r="K147" t="s">
        <v>892</v>
      </c>
      <c r="L147" t="s">
        <v>77</v>
      </c>
      <c r="M147" t="s">
        <v>78</v>
      </c>
      <c r="N147" t="s">
        <v>324</v>
      </c>
      <c r="O147" t="s">
        <v>893</v>
      </c>
      <c r="P147" t="s">
        <v>894</v>
      </c>
      <c r="X147">
        <v>39</v>
      </c>
      <c r="AF147" t="s">
        <v>895</v>
      </c>
      <c r="AG147" t="s">
        <v>296</v>
      </c>
      <c r="AH147" t="s">
        <v>895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5.85</v>
      </c>
      <c r="AT147">
        <v>0</v>
      </c>
      <c r="AU147">
        <v>0</v>
      </c>
      <c r="AV147">
        <v>1025.31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1801.41</v>
      </c>
      <c r="BE147">
        <v>0</v>
      </c>
      <c r="BF147">
        <v>1560</v>
      </c>
      <c r="BG147">
        <v>0</v>
      </c>
      <c r="BH147">
        <v>0</v>
      </c>
      <c r="BI147">
        <v>312</v>
      </c>
      <c r="BJ147">
        <v>0</v>
      </c>
      <c r="BK147">
        <v>0</v>
      </c>
      <c r="BL147">
        <v>0</v>
      </c>
      <c r="BM147">
        <v>0</v>
      </c>
      <c r="BN147">
        <v>4704.57</v>
      </c>
      <c r="BO147">
        <v>752.74</v>
      </c>
      <c r="BP147">
        <v>147.16999999999999</v>
      </c>
      <c r="BQ147">
        <f t="shared" si="2"/>
        <v>5310.1399999999994</v>
      </c>
      <c r="BR147" t="s">
        <v>324</v>
      </c>
    </row>
    <row r="148" spans="1:70">
      <c r="A148" t="s">
        <v>896</v>
      </c>
      <c r="B148" t="s">
        <v>897</v>
      </c>
      <c r="C148" t="s">
        <v>71</v>
      </c>
      <c r="D148" t="s">
        <v>289</v>
      </c>
      <c r="E148" t="s">
        <v>73</v>
      </c>
      <c r="F148" t="s">
        <v>74</v>
      </c>
      <c r="G148">
        <v>240701</v>
      </c>
      <c r="H148" t="s">
        <v>74</v>
      </c>
      <c r="I148" t="s">
        <v>75</v>
      </c>
      <c r="J148" t="s">
        <v>74</v>
      </c>
      <c r="K148" t="s">
        <v>898</v>
      </c>
      <c r="L148" t="s">
        <v>77</v>
      </c>
      <c r="M148" t="s">
        <v>78</v>
      </c>
      <c r="N148" t="s">
        <v>757</v>
      </c>
      <c r="O148" t="s">
        <v>899</v>
      </c>
      <c r="P148" t="s">
        <v>894</v>
      </c>
      <c r="X148">
        <v>10</v>
      </c>
      <c r="AF148" t="s">
        <v>372</v>
      </c>
      <c r="AG148" t="s">
        <v>296</v>
      </c>
      <c r="AH148" t="s">
        <v>372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1.5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154.5</v>
      </c>
      <c r="BE148">
        <v>0</v>
      </c>
      <c r="BF148">
        <v>400</v>
      </c>
      <c r="BG148">
        <v>0</v>
      </c>
      <c r="BH148">
        <v>0</v>
      </c>
      <c r="BI148">
        <v>80</v>
      </c>
      <c r="BJ148">
        <v>0</v>
      </c>
      <c r="BK148">
        <v>0</v>
      </c>
      <c r="BL148">
        <v>0</v>
      </c>
      <c r="BM148">
        <v>0</v>
      </c>
      <c r="BN148">
        <v>636</v>
      </c>
      <c r="BO148">
        <v>101.76</v>
      </c>
      <c r="BP148">
        <v>25.44</v>
      </c>
      <c r="BQ148">
        <f t="shared" si="2"/>
        <v>712.31999999999994</v>
      </c>
      <c r="BR148" t="s">
        <v>757</v>
      </c>
    </row>
    <row r="149" spans="1:70">
      <c r="A149" t="s">
        <v>900</v>
      </c>
      <c r="B149" t="s">
        <v>901</v>
      </c>
      <c r="C149" t="s">
        <v>71</v>
      </c>
      <c r="D149" t="s">
        <v>289</v>
      </c>
      <c r="E149" t="s">
        <v>73</v>
      </c>
      <c r="F149" t="s">
        <v>74</v>
      </c>
      <c r="G149">
        <v>240706</v>
      </c>
      <c r="H149" t="s">
        <v>74</v>
      </c>
      <c r="I149" t="s">
        <v>75</v>
      </c>
      <c r="K149" t="s">
        <v>902</v>
      </c>
      <c r="L149" t="s">
        <v>77</v>
      </c>
      <c r="M149" t="s">
        <v>78</v>
      </c>
      <c r="N149" t="s">
        <v>83</v>
      </c>
      <c r="O149" t="s">
        <v>266</v>
      </c>
      <c r="P149" t="s">
        <v>894</v>
      </c>
      <c r="X149">
        <v>13</v>
      </c>
      <c r="AF149" t="s">
        <v>434</v>
      </c>
      <c r="AG149" t="s">
        <v>296</v>
      </c>
      <c r="AH149" t="s">
        <v>434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1.95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200.85</v>
      </c>
      <c r="BE149">
        <v>0</v>
      </c>
      <c r="BF149">
        <v>520</v>
      </c>
      <c r="BG149">
        <v>0</v>
      </c>
      <c r="BH149">
        <v>0</v>
      </c>
      <c r="BI149">
        <v>104</v>
      </c>
      <c r="BJ149">
        <v>0</v>
      </c>
      <c r="BK149">
        <v>0</v>
      </c>
      <c r="BL149">
        <v>0</v>
      </c>
      <c r="BM149">
        <v>0</v>
      </c>
      <c r="BN149">
        <v>826.8</v>
      </c>
      <c r="BO149">
        <v>132.29</v>
      </c>
      <c r="BP149">
        <v>33.07</v>
      </c>
      <c r="BQ149">
        <f t="shared" si="2"/>
        <v>926.01999999999987</v>
      </c>
      <c r="BR149" t="s">
        <v>83</v>
      </c>
    </row>
    <row r="150" spans="1:70">
      <c r="A150" t="s">
        <v>903</v>
      </c>
      <c r="B150" t="s">
        <v>904</v>
      </c>
      <c r="C150" t="s">
        <v>71</v>
      </c>
      <c r="D150" t="s">
        <v>289</v>
      </c>
      <c r="E150" t="s">
        <v>73</v>
      </c>
      <c r="F150" t="s">
        <v>74</v>
      </c>
      <c r="G150">
        <v>240703</v>
      </c>
      <c r="H150" t="s">
        <v>74</v>
      </c>
      <c r="I150" t="s">
        <v>75</v>
      </c>
      <c r="J150" t="s">
        <v>74</v>
      </c>
      <c r="K150" t="s">
        <v>905</v>
      </c>
      <c r="L150" t="s">
        <v>77</v>
      </c>
      <c r="M150" t="s">
        <v>78</v>
      </c>
      <c r="N150" t="s">
        <v>137</v>
      </c>
      <c r="O150" t="s">
        <v>276</v>
      </c>
      <c r="P150" t="s">
        <v>894</v>
      </c>
      <c r="X150">
        <v>12</v>
      </c>
      <c r="AF150" t="s">
        <v>379</v>
      </c>
      <c r="AG150" t="s">
        <v>296</v>
      </c>
      <c r="AH150" t="s">
        <v>379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1.8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554.28</v>
      </c>
      <c r="BE150">
        <v>0</v>
      </c>
      <c r="BF150">
        <v>480</v>
      </c>
      <c r="BG150">
        <v>0</v>
      </c>
      <c r="BH150">
        <v>0</v>
      </c>
      <c r="BI150">
        <v>96</v>
      </c>
      <c r="BJ150">
        <v>0</v>
      </c>
      <c r="BK150">
        <v>0</v>
      </c>
      <c r="BL150">
        <v>0</v>
      </c>
      <c r="BM150">
        <v>0</v>
      </c>
      <c r="BN150">
        <v>1132.08</v>
      </c>
      <c r="BO150">
        <v>181.13</v>
      </c>
      <c r="BP150">
        <v>45.28</v>
      </c>
      <c r="BQ150">
        <f t="shared" si="2"/>
        <v>1267.93</v>
      </c>
      <c r="BR150" t="s">
        <v>141</v>
      </c>
    </row>
    <row r="151" spans="1:70">
      <c r="A151" t="s">
        <v>906</v>
      </c>
      <c r="B151" t="s">
        <v>907</v>
      </c>
      <c r="C151" t="s">
        <v>71</v>
      </c>
      <c r="D151" t="s">
        <v>289</v>
      </c>
      <c r="E151" t="s">
        <v>73</v>
      </c>
      <c r="F151" t="s">
        <v>74</v>
      </c>
      <c r="G151">
        <v>240708</v>
      </c>
      <c r="H151" t="s">
        <v>74</v>
      </c>
      <c r="I151" t="s">
        <v>75</v>
      </c>
      <c r="J151" t="s">
        <v>74</v>
      </c>
      <c r="K151" t="s">
        <v>908</v>
      </c>
      <c r="L151" t="s">
        <v>77</v>
      </c>
      <c r="M151" t="s">
        <v>78</v>
      </c>
      <c r="N151" t="s">
        <v>674</v>
      </c>
      <c r="O151" t="s">
        <v>909</v>
      </c>
      <c r="P151" t="s">
        <v>894</v>
      </c>
      <c r="X151">
        <v>10</v>
      </c>
      <c r="AF151" t="s">
        <v>372</v>
      </c>
      <c r="AG151" t="s">
        <v>296</v>
      </c>
      <c r="AH151" t="s">
        <v>372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1.5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154.5</v>
      </c>
      <c r="BE151">
        <v>0</v>
      </c>
      <c r="BF151">
        <v>400</v>
      </c>
      <c r="BG151">
        <v>0</v>
      </c>
      <c r="BH151">
        <v>0</v>
      </c>
      <c r="BI151">
        <v>80</v>
      </c>
      <c r="BJ151">
        <v>0</v>
      </c>
      <c r="BK151">
        <v>0</v>
      </c>
      <c r="BL151">
        <v>0</v>
      </c>
      <c r="BM151">
        <v>0</v>
      </c>
      <c r="BN151">
        <v>636</v>
      </c>
      <c r="BO151">
        <v>101.76</v>
      </c>
      <c r="BP151">
        <v>25.44</v>
      </c>
      <c r="BQ151">
        <f t="shared" si="2"/>
        <v>712.31999999999994</v>
      </c>
      <c r="BR151" t="s">
        <v>674</v>
      </c>
    </row>
    <row r="152" spans="1:70">
      <c r="A152" t="s">
        <v>910</v>
      </c>
      <c r="B152" t="s">
        <v>911</v>
      </c>
      <c r="C152" t="s">
        <v>71</v>
      </c>
      <c r="D152" t="s">
        <v>289</v>
      </c>
      <c r="E152" t="s">
        <v>73</v>
      </c>
      <c r="F152" t="s">
        <v>74</v>
      </c>
      <c r="G152">
        <v>240709</v>
      </c>
      <c r="H152" t="s">
        <v>74</v>
      </c>
      <c r="I152" t="s">
        <v>75</v>
      </c>
      <c r="J152" t="s">
        <v>74</v>
      </c>
      <c r="K152" t="s">
        <v>912</v>
      </c>
      <c r="L152" t="s">
        <v>77</v>
      </c>
      <c r="M152" t="s">
        <v>78</v>
      </c>
      <c r="N152" t="s">
        <v>913</v>
      </c>
      <c r="O152" t="s">
        <v>914</v>
      </c>
      <c r="P152" t="s">
        <v>894</v>
      </c>
      <c r="X152">
        <v>17</v>
      </c>
      <c r="AF152" t="s">
        <v>464</v>
      </c>
      <c r="AG152" t="s">
        <v>296</v>
      </c>
      <c r="AH152" t="s">
        <v>464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2.5499999999999998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262.64999999999998</v>
      </c>
      <c r="BE152">
        <v>0</v>
      </c>
      <c r="BF152">
        <v>680</v>
      </c>
      <c r="BG152">
        <v>0</v>
      </c>
      <c r="BH152">
        <v>0</v>
      </c>
      <c r="BI152">
        <v>136</v>
      </c>
      <c r="BJ152">
        <v>0</v>
      </c>
      <c r="BK152">
        <v>0</v>
      </c>
      <c r="BL152">
        <v>0</v>
      </c>
      <c r="BM152">
        <v>0</v>
      </c>
      <c r="BN152">
        <v>1081.2</v>
      </c>
      <c r="BO152">
        <v>172.99</v>
      </c>
      <c r="BP152">
        <v>43.25</v>
      </c>
      <c r="BQ152">
        <f t="shared" si="2"/>
        <v>1210.94</v>
      </c>
      <c r="BR152" t="s">
        <v>915</v>
      </c>
    </row>
    <row r="153" spans="1:70">
      <c r="A153" t="s">
        <v>916</v>
      </c>
      <c r="B153" t="s">
        <v>917</v>
      </c>
      <c r="C153" t="s">
        <v>71</v>
      </c>
      <c r="D153" t="s">
        <v>289</v>
      </c>
      <c r="E153" t="s">
        <v>73</v>
      </c>
      <c r="F153" t="s">
        <v>74</v>
      </c>
      <c r="G153">
        <v>240705</v>
      </c>
      <c r="H153" t="s">
        <v>74</v>
      </c>
      <c r="I153" t="s">
        <v>75</v>
      </c>
      <c r="J153" t="s">
        <v>74</v>
      </c>
      <c r="K153" t="s">
        <v>918</v>
      </c>
      <c r="L153" t="s">
        <v>77</v>
      </c>
      <c r="M153" t="s">
        <v>78</v>
      </c>
      <c r="N153" t="s">
        <v>330</v>
      </c>
      <c r="O153" t="s">
        <v>919</v>
      </c>
      <c r="P153" t="s">
        <v>894</v>
      </c>
      <c r="X153">
        <v>26</v>
      </c>
      <c r="AF153" t="s">
        <v>920</v>
      </c>
      <c r="AG153" t="s">
        <v>296</v>
      </c>
      <c r="AH153" t="s">
        <v>920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3.9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1200.94</v>
      </c>
      <c r="BE153">
        <v>0</v>
      </c>
      <c r="BF153">
        <v>1040</v>
      </c>
      <c r="BG153">
        <v>0</v>
      </c>
      <c r="BH153">
        <v>0</v>
      </c>
      <c r="BI153">
        <v>208</v>
      </c>
      <c r="BJ153">
        <v>0</v>
      </c>
      <c r="BK153">
        <v>0</v>
      </c>
      <c r="BL153">
        <v>0</v>
      </c>
      <c r="BM153">
        <v>0</v>
      </c>
      <c r="BN153">
        <v>2452.84</v>
      </c>
      <c r="BO153">
        <v>392.45</v>
      </c>
      <c r="BP153">
        <v>98.12</v>
      </c>
      <c r="BQ153">
        <f t="shared" si="2"/>
        <v>2747.17</v>
      </c>
      <c r="BR153" t="s">
        <v>332</v>
      </c>
    </row>
    <row r="154" spans="1:70">
      <c r="A154" t="s">
        <v>921</v>
      </c>
      <c r="B154" t="s">
        <v>922</v>
      </c>
      <c r="C154" t="s">
        <v>71</v>
      </c>
      <c r="D154" t="s">
        <v>289</v>
      </c>
      <c r="E154" t="s">
        <v>73</v>
      </c>
      <c r="F154" t="s">
        <v>74</v>
      </c>
      <c r="G154">
        <v>240704</v>
      </c>
      <c r="H154" t="s">
        <v>74</v>
      </c>
      <c r="I154" t="s">
        <v>75</v>
      </c>
      <c r="J154" t="s">
        <v>74</v>
      </c>
      <c r="K154" t="s">
        <v>923</v>
      </c>
      <c r="L154" t="s">
        <v>77</v>
      </c>
      <c r="M154" t="s">
        <v>78</v>
      </c>
      <c r="N154" t="s">
        <v>924</v>
      </c>
      <c r="O154" t="s">
        <v>925</v>
      </c>
      <c r="P154" t="s">
        <v>894</v>
      </c>
      <c r="X154">
        <v>25</v>
      </c>
      <c r="AF154" t="s">
        <v>717</v>
      </c>
      <c r="AG154" t="s">
        <v>296</v>
      </c>
      <c r="AH154" t="s">
        <v>717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3.75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386.25</v>
      </c>
      <c r="BE154">
        <v>0</v>
      </c>
      <c r="BF154">
        <v>1000</v>
      </c>
      <c r="BG154">
        <v>0</v>
      </c>
      <c r="BH154">
        <v>0</v>
      </c>
      <c r="BI154">
        <v>200</v>
      </c>
      <c r="BJ154">
        <v>0</v>
      </c>
      <c r="BK154">
        <v>0</v>
      </c>
      <c r="BL154">
        <v>0</v>
      </c>
      <c r="BM154">
        <v>0</v>
      </c>
      <c r="BN154">
        <v>1590</v>
      </c>
      <c r="BO154">
        <v>254.4</v>
      </c>
      <c r="BP154">
        <v>63.6</v>
      </c>
      <c r="BQ154">
        <f t="shared" si="2"/>
        <v>1780.8000000000002</v>
      </c>
      <c r="BR154" t="s">
        <v>757</v>
      </c>
    </row>
    <row r="155" spans="1:70">
      <c r="A155" t="s">
        <v>926</v>
      </c>
      <c r="B155" t="s">
        <v>927</v>
      </c>
      <c r="C155" t="s">
        <v>71</v>
      </c>
      <c r="D155" t="s">
        <v>289</v>
      </c>
      <c r="E155" t="s">
        <v>73</v>
      </c>
      <c r="F155" t="s">
        <v>74</v>
      </c>
      <c r="G155">
        <v>240700</v>
      </c>
      <c r="H155" t="s">
        <v>74</v>
      </c>
      <c r="I155" t="s">
        <v>75</v>
      </c>
      <c r="J155" t="s">
        <v>74</v>
      </c>
      <c r="K155" t="s">
        <v>928</v>
      </c>
      <c r="L155" t="s">
        <v>77</v>
      </c>
      <c r="M155" t="s">
        <v>78</v>
      </c>
      <c r="N155" t="s">
        <v>411</v>
      </c>
      <c r="O155" t="s">
        <v>929</v>
      </c>
      <c r="P155" t="s">
        <v>894</v>
      </c>
      <c r="V155">
        <v>1</v>
      </c>
      <c r="AF155" t="s">
        <v>295</v>
      </c>
      <c r="AG155" t="s">
        <v>296</v>
      </c>
      <c r="AH155" t="s">
        <v>295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0.15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423.55</v>
      </c>
      <c r="BE155">
        <v>0</v>
      </c>
      <c r="BF155">
        <v>40</v>
      </c>
      <c r="BG155">
        <v>0</v>
      </c>
      <c r="BH155">
        <v>0</v>
      </c>
      <c r="BI155">
        <v>8</v>
      </c>
      <c r="BJ155">
        <v>0</v>
      </c>
      <c r="BK155">
        <v>0</v>
      </c>
      <c r="BL155">
        <v>0</v>
      </c>
      <c r="BM155">
        <v>0</v>
      </c>
      <c r="BN155">
        <v>471.7</v>
      </c>
      <c r="BO155">
        <v>75.47</v>
      </c>
      <c r="BP155">
        <v>18.87</v>
      </c>
      <c r="BQ155">
        <f t="shared" si="2"/>
        <v>528.29999999999995</v>
      </c>
      <c r="BR155" t="s">
        <v>411</v>
      </c>
    </row>
    <row r="156" spans="1:70">
      <c r="A156" t="s">
        <v>930</v>
      </c>
      <c r="B156" t="s">
        <v>931</v>
      </c>
      <c r="C156" t="s">
        <v>71</v>
      </c>
      <c r="D156" t="s">
        <v>289</v>
      </c>
      <c r="E156" t="s">
        <v>73</v>
      </c>
      <c r="F156" t="s">
        <v>74</v>
      </c>
      <c r="G156">
        <v>240698</v>
      </c>
      <c r="H156" t="s">
        <v>74</v>
      </c>
      <c r="I156" t="s">
        <v>75</v>
      </c>
      <c r="J156" t="s">
        <v>74</v>
      </c>
      <c r="K156" t="s">
        <v>932</v>
      </c>
      <c r="L156" t="s">
        <v>77</v>
      </c>
      <c r="M156" t="s">
        <v>78</v>
      </c>
      <c r="N156" t="s">
        <v>137</v>
      </c>
      <c r="O156" t="s">
        <v>933</v>
      </c>
      <c r="P156" t="s">
        <v>894</v>
      </c>
      <c r="AB156">
        <v>3</v>
      </c>
      <c r="AF156" t="s">
        <v>314</v>
      </c>
      <c r="AG156" t="s">
        <v>296</v>
      </c>
      <c r="AH156" t="s">
        <v>314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0.45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327.24</v>
      </c>
      <c r="BE156">
        <v>0</v>
      </c>
      <c r="BF156">
        <v>120</v>
      </c>
      <c r="BG156">
        <v>0</v>
      </c>
      <c r="BH156">
        <v>0</v>
      </c>
      <c r="BI156">
        <v>24</v>
      </c>
      <c r="BJ156">
        <v>0</v>
      </c>
      <c r="BK156">
        <v>0</v>
      </c>
      <c r="BL156">
        <v>0</v>
      </c>
      <c r="BM156">
        <v>0</v>
      </c>
      <c r="BN156">
        <v>471.69</v>
      </c>
      <c r="BO156">
        <v>75.47</v>
      </c>
      <c r="BP156">
        <v>18.87</v>
      </c>
      <c r="BQ156">
        <f t="shared" si="2"/>
        <v>528.29</v>
      </c>
      <c r="BR156" t="s">
        <v>141</v>
      </c>
    </row>
    <row r="157" spans="1:70">
      <c r="A157" t="s">
        <v>934</v>
      </c>
      <c r="B157" t="s">
        <v>935</v>
      </c>
      <c r="C157" t="s">
        <v>71</v>
      </c>
      <c r="D157" t="s">
        <v>289</v>
      </c>
      <c r="E157" t="s">
        <v>73</v>
      </c>
      <c r="F157" t="s">
        <v>74</v>
      </c>
      <c r="G157">
        <v>240692</v>
      </c>
      <c r="H157" t="s">
        <v>74</v>
      </c>
      <c r="I157" t="s">
        <v>75</v>
      </c>
      <c r="J157" t="s">
        <v>74</v>
      </c>
      <c r="K157" t="s">
        <v>936</v>
      </c>
      <c r="L157" t="s">
        <v>77</v>
      </c>
      <c r="M157" t="s">
        <v>78</v>
      </c>
      <c r="N157" t="s">
        <v>349</v>
      </c>
      <c r="O157" t="s">
        <v>937</v>
      </c>
      <c r="P157" t="s">
        <v>894</v>
      </c>
      <c r="X157">
        <v>12</v>
      </c>
      <c r="AF157" t="s">
        <v>379</v>
      </c>
      <c r="AG157" t="s">
        <v>296</v>
      </c>
      <c r="AH157" t="s">
        <v>379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1.8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554.28</v>
      </c>
      <c r="BE157">
        <v>0</v>
      </c>
      <c r="BF157">
        <v>480</v>
      </c>
      <c r="BG157">
        <v>0</v>
      </c>
      <c r="BH157">
        <v>0</v>
      </c>
      <c r="BI157">
        <v>96</v>
      </c>
      <c r="BJ157">
        <v>0</v>
      </c>
      <c r="BK157">
        <v>0</v>
      </c>
      <c r="BL157">
        <v>0</v>
      </c>
      <c r="BM157">
        <v>0</v>
      </c>
      <c r="BN157">
        <v>1132.08</v>
      </c>
      <c r="BO157">
        <v>181.13</v>
      </c>
      <c r="BP157">
        <v>45.28</v>
      </c>
      <c r="BQ157">
        <f t="shared" si="2"/>
        <v>1267.93</v>
      </c>
      <c r="BR157" t="s">
        <v>349</v>
      </c>
    </row>
    <row r="158" spans="1:70">
      <c r="A158" t="s">
        <v>938</v>
      </c>
      <c r="B158" t="s">
        <v>939</v>
      </c>
      <c r="C158" t="s">
        <v>71</v>
      </c>
      <c r="D158" t="s">
        <v>289</v>
      </c>
      <c r="E158" t="s">
        <v>73</v>
      </c>
      <c r="F158" t="s">
        <v>74</v>
      </c>
      <c r="G158">
        <v>240689</v>
      </c>
      <c r="H158" t="s">
        <v>74</v>
      </c>
      <c r="I158" t="s">
        <v>75</v>
      </c>
      <c r="J158" t="s">
        <v>74</v>
      </c>
      <c r="K158" t="s">
        <v>940</v>
      </c>
      <c r="L158" t="s">
        <v>77</v>
      </c>
      <c r="M158" t="s">
        <v>78</v>
      </c>
      <c r="N158" t="s">
        <v>941</v>
      </c>
      <c r="O158" t="s">
        <v>942</v>
      </c>
      <c r="P158" t="s">
        <v>894</v>
      </c>
      <c r="X158">
        <v>13</v>
      </c>
      <c r="AF158" t="s">
        <v>434</v>
      </c>
      <c r="AG158" t="s">
        <v>296</v>
      </c>
      <c r="AH158" t="s">
        <v>434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1.95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200.85</v>
      </c>
      <c r="BE158">
        <v>0</v>
      </c>
      <c r="BF158">
        <v>520</v>
      </c>
      <c r="BG158">
        <v>0</v>
      </c>
      <c r="BH158">
        <v>0</v>
      </c>
      <c r="BI158">
        <v>104</v>
      </c>
      <c r="BJ158">
        <v>0</v>
      </c>
      <c r="BK158">
        <v>0</v>
      </c>
      <c r="BL158">
        <v>0</v>
      </c>
      <c r="BM158">
        <v>0</v>
      </c>
      <c r="BN158">
        <v>826.8</v>
      </c>
      <c r="BO158">
        <v>132.29</v>
      </c>
      <c r="BP158">
        <v>33.07</v>
      </c>
      <c r="BQ158">
        <f t="shared" si="2"/>
        <v>926.01999999999987</v>
      </c>
      <c r="BR158" t="s">
        <v>83</v>
      </c>
    </row>
    <row r="159" spans="1:70">
      <c r="A159" t="s">
        <v>943</v>
      </c>
      <c r="B159" t="s">
        <v>944</v>
      </c>
      <c r="C159" t="s">
        <v>71</v>
      </c>
      <c r="D159" t="s">
        <v>289</v>
      </c>
      <c r="E159" t="s">
        <v>73</v>
      </c>
      <c r="F159" t="s">
        <v>74</v>
      </c>
      <c r="G159">
        <v>240676</v>
      </c>
      <c r="H159" t="s">
        <v>74</v>
      </c>
      <c r="I159" t="s">
        <v>75</v>
      </c>
      <c r="J159" t="s">
        <v>74</v>
      </c>
      <c r="K159" t="s">
        <v>945</v>
      </c>
      <c r="L159" t="s">
        <v>77</v>
      </c>
      <c r="M159" t="s">
        <v>78</v>
      </c>
      <c r="N159" t="s">
        <v>438</v>
      </c>
      <c r="O159" t="s">
        <v>946</v>
      </c>
      <c r="P159" t="s">
        <v>894</v>
      </c>
      <c r="X159">
        <v>7</v>
      </c>
      <c r="AF159" t="s">
        <v>345</v>
      </c>
      <c r="AG159" t="s">
        <v>296</v>
      </c>
      <c r="AH159" t="s">
        <v>345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1.05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108.15</v>
      </c>
      <c r="BE159">
        <v>0</v>
      </c>
      <c r="BF159">
        <v>280</v>
      </c>
      <c r="BG159">
        <v>0</v>
      </c>
      <c r="BH159">
        <v>0</v>
      </c>
      <c r="BI159">
        <v>56</v>
      </c>
      <c r="BJ159">
        <v>0</v>
      </c>
      <c r="BK159">
        <v>0</v>
      </c>
      <c r="BL159">
        <v>0</v>
      </c>
      <c r="BM159">
        <v>0</v>
      </c>
      <c r="BN159">
        <v>445.2</v>
      </c>
      <c r="BO159">
        <v>71.23</v>
      </c>
      <c r="BP159">
        <v>17.809999999999999</v>
      </c>
      <c r="BQ159">
        <f t="shared" si="2"/>
        <v>498.61999999999995</v>
      </c>
      <c r="BR159" t="s">
        <v>440</v>
      </c>
    </row>
    <row r="160" spans="1:70">
      <c r="A160" t="s">
        <v>947</v>
      </c>
      <c r="B160" t="s">
        <v>948</v>
      </c>
      <c r="C160" t="s">
        <v>71</v>
      </c>
      <c r="D160" t="s">
        <v>289</v>
      </c>
      <c r="E160" t="s">
        <v>73</v>
      </c>
      <c r="F160" t="s">
        <v>74</v>
      </c>
      <c r="G160">
        <v>240649</v>
      </c>
      <c r="H160" t="s">
        <v>74</v>
      </c>
      <c r="I160" t="s">
        <v>75</v>
      </c>
      <c r="J160" t="s">
        <v>74</v>
      </c>
      <c r="K160" t="s">
        <v>949</v>
      </c>
      <c r="L160" t="s">
        <v>77</v>
      </c>
      <c r="M160" t="s">
        <v>78</v>
      </c>
      <c r="N160" t="s">
        <v>950</v>
      </c>
      <c r="O160" t="s">
        <v>951</v>
      </c>
      <c r="P160" t="s">
        <v>894</v>
      </c>
      <c r="X160">
        <v>9</v>
      </c>
      <c r="AF160" t="s">
        <v>407</v>
      </c>
      <c r="AG160" t="s">
        <v>296</v>
      </c>
      <c r="AH160" t="s">
        <v>407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1.35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139.05000000000001</v>
      </c>
      <c r="BE160">
        <v>0</v>
      </c>
      <c r="BF160">
        <v>360</v>
      </c>
      <c r="BG160">
        <v>0</v>
      </c>
      <c r="BH160">
        <v>0</v>
      </c>
      <c r="BI160">
        <v>72</v>
      </c>
      <c r="BJ160">
        <v>0</v>
      </c>
      <c r="BK160">
        <v>0</v>
      </c>
      <c r="BL160">
        <v>0</v>
      </c>
      <c r="BM160">
        <v>0</v>
      </c>
      <c r="BN160">
        <v>572.4</v>
      </c>
      <c r="BO160">
        <v>91.59</v>
      </c>
      <c r="BP160">
        <v>22.89</v>
      </c>
      <c r="BQ160">
        <f t="shared" si="2"/>
        <v>641.1</v>
      </c>
      <c r="BR160" t="s">
        <v>950</v>
      </c>
    </row>
    <row r="161" spans="1:70">
      <c r="A161" t="s">
        <v>952</v>
      </c>
      <c r="B161" t="s">
        <v>953</v>
      </c>
      <c r="C161" t="s">
        <v>71</v>
      </c>
      <c r="D161" t="s">
        <v>289</v>
      </c>
      <c r="E161" t="s">
        <v>73</v>
      </c>
      <c r="F161" t="s">
        <v>74</v>
      </c>
      <c r="G161">
        <v>240666</v>
      </c>
      <c r="H161" t="s">
        <v>74</v>
      </c>
      <c r="I161" t="s">
        <v>75</v>
      </c>
      <c r="J161" t="s">
        <v>74</v>
      </c>
      <c r="K161" t="s">
        <v>954</v>
      </c>
      <c r="L161" t="s">
        <v>77</v>
      </c>
      <c r="M161" t="s">
        <v>78</v>
      </c>
      <c r="N161" t="s">
        <v>558</v>
      </c>
      <c r="O161" t="s">
        <v>955</v>
      </c>
      <c r="P161" t="s">
        <v>894</v>
      </c>
      <c r="Z161">
        <v>2</v>
      </c>
      <c r="AF161" t="s">
        <v>339</v>
      </c>
      <c r="AG161" t="s">
        <v>296</v>
      </c>
      <c r="AH161" t="s">
        <v>339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0.3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375.4</v>
      </c>
      <c r="BE161">
        <v>0</v>
      </c>
      <c r="BF161">
        <v>80</v>
      </c>
      <c r="BG161">
        <v>0</v>
      </c>
      <c r="BH161">
        <v>0</v>
      </c>
      <c r="BI161">
        <v>16</v>
      </c>
      <c r="BJ161">
        <v>0</v>
      </c>
      <c r="BK161">
        <v>0</v>
      </c>
      <c r="BL161">
        <v>0</v>
      </c>
      <c r="BM161">
        <v>0</v>
      </c>
      <c r="BN161">
        <v>471.7</v>
      </c>
      <c r="BO161">
        <v>75.47</v>
      </c>
      <c r="BP161">
        <v>18.87</v>
      </c>
      <c r="BQ161">
        <f t="shared" si="2"/>
        <v>528.29999999999995</v>
      </c>
      <c r="BR161" t="s">
        <v>560</v>
      </c>
    </row>
    <row r="162" spans="1:70">
      <c r="A162" t="s">
        <v>956</v>
      </c>
      <c r="B162" t="s">
        <v>957</v>
      </c>
      <c r="C162" t="s">
        <v>71</v>
      </c>
      <c r="D162" t="s">
        <v>289</v>
      </c>
      <c r="E162" t="s">
        <v>73</v>
      </c>
      <c r="F162" t="s">
        <v>74</v>
      </c>
      <c r="G162">
        <v>240677</v>
      </c>
      <c r="H162" t="s">
        <v>74</v>
      </c>
      <c r="I162" t="s">
        <v>75</v>
      </c>
      <c r="J162" t="s">
        <v>74</v>
      </c>
      <c r="K162" t="s">
        <v>958</v>
      </c>
      <c r="L162" t="s">
        <v>77</v>
      </c>
      <c r="M162" t="s">
        <v>78</v>
      </c>
      <c r="N162" t="s">
        <v>959</v>
      </c>
      <c r="O162" t="s">
        <v>960</v>
      </c>
      <c r="P162" t="s">
        <v>894</v>
      </c>
      <c r="X162">
        <v>11</v>
      </c>
      <c r="AF162" t="s">
        <v>470</v>
      </c>
      <c r="AG162" t="s">
        <v>296</v>
      </c>
      <c r="AH162" t="s">
        <v>470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1.65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169.95</v>
      </c>
      <c r="BE162">
        <v>0</v>
      </c>
      <c r="BF162">
        <v>440</v>
      </c>
      <c r="BG162">
        <v>0</v>
      </c>
      <c r="BH162">
        <v>0</v>
      </c>
      <c r="BI162">
        <v>88</v>
      </c>
      <c r="BJ162">
        <v>0</v>
      </c>
      <c r="BK162">
        <v>0</v>
      </c>
      <c r="BL162">
        <v>0</v>
      </c>
      <c r="BM162">
        <v>0</v>
      </c>
      <c r="BN162">
        <v>699.6</v>
      </c>
      <c r="BO162">
        <v>111.93</v>
      </c>
      <c r="BP162">
        <v>27.99</v>
      </c>
      <c r="BQ162">
        <f t="shared" si="2"/>
        <v>783.54</v>
      </c>
      <c r="BR162" t="s">
        <v>959</v>
      </c>
    </row>
    <row r="163" spans="1:70">
      <c r="A163" t="s">
        <v>961</v>
      </c>
      <c r="B163" t="s">
        <v>962</v>
      </c>
      <c r="C163" t="s">
        <v>71</v>
      </c>
      <c r="D163" t="s">
        <v>289</v>
      </c>
      <c r="E163" t="s">
        <v>73</v>
      </c>
      <c r="F163" t="s">
        <v>74</v>
      </c>
      <c r="G163">
        <v>240682</v>
      </c>
      <c r="H163" t="s">
        <v>74</v>
      </c>
      <c r="I163" t="s">
        <v>75</v>
      </c>
      <c r="J163" t="s">
        <v>74</v>
      </c>
      <c r="K163" t="s">
        <v>963</v>
      </c>
      <c r="L163" t="s">
        <v>77</v>
      </c>
      <c r="M163" t="s">
        <v>78</v>
      </c>
      <c r="N163" t="s">
        <v>964</v>
      </c>
      <c r="O163" t="s">
        <v>965</v>
      </c>
      <c r="P163" t="s">
        <v>894</v>
      </c>
      <c r="X163">
        <v>13</v>
      </c>
      <c r="AF163" t="s">
        <v>434</v>
      </c>
      <c r="AG163" t="s">
        <v>296</v>
      </c>
      <c r="AH163" t="s">
        <v>434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1.95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600.47</v>
      </c>
      <c r="BE163">
        <v>0</v>
      </c>
      <c r="BF163">
        <v>520</v>
      </c>
      <c r="BG163">
        <v>0</v>
      </c>
      <c r="BH163">
        <v>0</v>
      </c>
      <c r="BI163">
        <v>104</v>
      </c>
      <c r="BJ163">
        <v>0</v>
      </c>
      <c r="BK163">
        <v>0</v>
      </c>
      <c r="BL163">
        <v>0</v>
      </c>
      <c r="BM163">
        <v>0</v>
      </c>
      <c r="BN163">
        <v>1226.42</v>
      </c>
      <c r="BO163">
        <v>196.23</v>
      </c>
      <c r="BP163">
        <v>49.06</v>
      </c>
      <c r="BQ163">
        <f t="shared" si="2"/>
        <v>1373.5900000000001</v>
      </c>
      <c r="BR163" t="s">
        <v>964</v>
      </c>
    </row>
    <row r="164" spans="1:70">
      <c r="A164" t="s">
        <v>966</v>
      </c>
      <c r="B164" t="s">
        <v>967</v>
      </c>
      <c r="C164" t="s">
        <v>71</v>
      </c>
      <c r="D164" t="s">
        <v>289</v>
      </c>
      <c r="E164" t="s">
        <v>73</v>
      </c>
      <c r="F164" t="s">
        <v>74</v>
      </c>
      <c r="G164">
        <v>240664</v>
      </c>
      <c r="H164" t="s">
        <v>74</v>
      </c>
      <c r="I164" t="s">
        <v>75</v>
      </c>
      <c r="J164" t="s">
        <v>74</v>
      </c>
      <c r="K164" t="s">
        <v>968</v>
      </c>
      <c r="L164" t="s">
        <v>77</v>
      </c>
      <c r="M164" t="s">
        <v>78</v>
      </c>
      <c r="N164" t="s">
        <v>674</v>
      </c>
      <c r="O164" t="s">
        <v>969</v>
      </c>
      <c r="P164" t="s">
        <v>894</v>
      </c>
      <c r="X164">
        <v>14</v>
      </c>
      <c r="AF164" t="s">
        <v>413</v>
      </c>
      <c r="AG164" t="s">
        <v>296</v>
      </c>
      <c r="AH164" t="s">
        <v>413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2.1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216.3</v>
      </c>
      <c r="BE164">
        <v>0</v>
      </c>
      <c r="BF164">
        <v>560</v>
      </c>
      <c r="BG164">
        <v>0</v>
      </c>
      <c r="BH164">
        <v>0</v>
      </c>
      <c r="BI164">
        <v>112</v>
      </c>
      <c r="BJ164">
        <v>0</v>
      </c>
      <c r="BK164">
        <v>0</v>
      </c>
      <c r="BL164">
        <v>0</v>
      </c>
      <c r="BM164">
        <v>0</v>
      </c>
      <c r="BN164">
        <v>890.4</v>
      </c>
      <c r="BO164">
        <v>142.47</v>
      </c>
      <c r="BP164">
        <v>35.61</v>
      </c>
      <c r="BQ164">
        <f t="shared" si="2"/>
        <v>997.25999999999988</v>
      </c>
      <c r="BR164" t="s">
        <v>674</v>
      </c>
    </row>
    <row r="165" spans="1:70">
      <c r="A165" t="s">
        <v>970</v>
      </c>
      <c r="B165" t="s">
        <v>971</v>
      </c>
      <c r="C165" t="s">
        <v>71</v>
      </c>
      <c r="D165" t="s">
        <v>289</v>
      </c>
      <c r="E165" t="s">
        <v>73</v>
      </c>
      <c r="F165" t="s">
        <v>74</v>
      </c>
      <c r="G165">
        <v>240663</v>
      </c>
      <c r="H165" t="s">
        <v>74</v>
      </c>
      <c r="I165" t="s">
        <v>75</v>
      </c>
      <c r="J165" t="s">
        <v>74</v>
      </c>
      <c r="K165" t="s">
        <v>972</v>
      </c>
      <c r="L165" t="s">
        <v>77</v>
      </c>
      <c r="M165" t="s">
        <v>78</v>
      </c>
      <c r="N165" t="s">
        <v>161</v>
      </c>
      <c r="O165" t="s">
        <v>973</v>
      </c>
      <c r="P165" t="s">
        <v>894</v>
      </c>
      <c r="Z165">
        <v>2</v>
      </c>
      <c r="AF165" t="s">
        <v>339</v>
      </c>
      <c r="AG165" t="s">
        <v>296</v>
      </c>
      <c r="AH165" t="s">
        <v>339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0.3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327.7</v>
      </c>
      <c r="BE165">
        <v>0</v>
      </c>
      <c r="BF165">
        <v>80</v>
      </c>
      <c r="BG165">
        <v>0</v>
      </c>
      <c r="BH165">
        <v>0</v>
      </c>
      <c r="BI165">
        <v>16</v>
      </c>
      <c r="BJ165">
        <v>0</v>
      </c>
      <c r="BK165">
        <v>0</v>
      </c>
      <c r="BL165">
        <v>0</v>
      </c>
      <c r="BM165">
        <v>0</v>
      </c>
      <c r="BN165">
        <v>424</v>
      </c>
      <c r="BO165">
        <v>67.84</v>
      </c>
      <c r="BP165">
        <v>16.96</v>
      </c>
      <c r="BQ165">
        <f t="shared" si="2"/>
        <v>474.88000000000005</v>
      </c>
      <c r="BR165" t="s">
        <v>83</v>
      </c>
    </row>
    <row r="166" spans="1:70">
      <c r="A166" t="s">
        <v>974</v>
      </c>
      <c r="B166" t="s">
        <v>975</v>
      </c>
      <c r="C166" t="s">
        <v>71</v>
      </c>
      <c r="D166" t="s">
        <v>289</v>
      </c>
      <c r="E166" t="s">
        <v>73</v>
      </c>
      <c r="F166" t="s">
        <v>74</v>
      </c>
      <c r="G166" t="s">
        <v>976</v>
      </c>
      <c r="H166" t="s">
        <v>74</v>
      </c>
      <c r="I166" t="s">
        <v>75</v>
      </c>
      <c r="J166" t="s">
        <v>74</v>
      </c>
      <c r="K166" t="s">
        <v>977</v>
      </c>
      <c r="L166" t="s">
        <v>77</v>
      </c>
      <c r="M166" t="s">
        <v>78</v>
      </c>
      <c r="N166" t="s">
        <v>318</v>
      </c>
      <c r="O166" t="s">
        <v>978</v>
      </c>
      <c r="P166" t="s">
        <v>894</v>
      </c>
      <c r="U166">
        <v>1</v>
      </c>
      <c r="AF166" t="s">
        <v>823</v>
      </c>
      <c r="AG166" t="s">
        <v>296</v>
      </c>
      <c r="AH166" t="s">
        <v>823</v>
      </c>
      <c r="AJ166">
        <v>0</v>
      </c>
      <c r="AK166">
        <v>0</v>
      </c>
      <c r="AL166">
        <v>0</v>
      </c>
      <c r="AM166">
        <v>0</v>
      </c>
      <c r="AN166">
        <v>458.08</v>
      </c>
      <c r="AO166">
        <v>0</v>
      </c>
      <c r="AP166">
        <v>0</v>
      </c>
      <c r="AQ166">
        <v>0</v>
      </c>
      <c r="AR166">
        <v>0</v>
      </c>
      <c r="AS166">
        <v>36.46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3209.98</v>
      </c>
      <c r="BE166">
        <v>0</v>
      </c>
      <c r="BF166">
        <v>0</v>
      </c>
      <c r="BG166">
        <v>0</v>
      </c>
      <c r="BH166">
        <v>0</v>
      </c>
      <c r="BI166">
        <v>421.62</v>
      </c>
      <c r="BJ166">
        <v>0</v>
      </c>
      <c r="BK166">
        <v>0</v>
      </c>
      <c r="BL166">
        <v>0</v>
      </c>
      <c r="BM166">
        <v>0</v>
      </c>
      <c r="BN166">
        <v>4126.1400000000003</v>
      </c>
      <c r="BO166">
        <v>660.18</v>
      </c>
      <c r="BP166">
        <v>146.72</v>
      </c>
      <c r="BQ166">
        <f t="shared" si="2"/>
        <v>4639.6000000000004</v>
      </c>
      <c r="BR166" t="s">
        <v>320</v>
      </c>
    </row>
    <row r="167" spans="1:70">
      <c r="A167" t="s">
        <v>979</v>
      </c>
      <c r="B167" t="s">
        <v>980</v>
      </c>
      <c r="C167" t="s">
        <v>71</v>
      </c>
      <c r="D167" t="s">
        <v>289</v>
      </c>
      <c r="E167" t="s">
        <v>73</v>
      </c>
      <c r="F167" t="s">
        <v>74</v>
      </c>
      <c r="G167">
        <v>240657</v>
      </c>
      <c r="H167" t="s">
        <v>74</v>
      </c>
      <c r="I167" t="s">
        <v>75</v>
      </c>
      <c r="J167" t="s">
        <v>74</v>
      </c>
      <c r="K167" t="s">
        <v>981</v>
      </c>
      <c r="L167" t="s">
        <v>77</v>
      </c>
      <c r="M167" t="s">
        <v>78</v>
      </c>
      <c r="N167" t="s">
        <v>982</v>
      </c>
      <c r="O167" t="s">
        <v>983</v>
      </c>
      <c r="P167" t="s">
        <v>894</v>
      </c>
      <c r="X167">
        <v>5</v>
      </c>
      <c r="AF167" t="s">
        <v>333</v>
      </c>
      <c r="AG167" t="s">
        <v>296</v>
      </c>
      <c r="AH167" t="s">
        <v>333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0.75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77.25</v>
      </c>
      <c r="BE167">
        <v>0</v>
      </c>
      <c r="BF167">
        <v>200</v>
      </c>
      <c r="BG167">
        <v>0</v>
      </c>
      <c r="BH167">
        <v>0</v>
      </c>
      <c r="BI167">
        <v>40</v>
      </c>
      <c r="BJ167">
        <v>0</v>
      </c>
      <c r="BK167">
        <v>0</v>
      </c>
      <c r="BL167">
        <v>0</v>
      </c>
      <c r="BM167">
        <v>0</v>
      </c>
      <c r="BN167">
        <v>318</v>
      </c>
      <c r="BO167">
        <v>50.88</v>
      </c>
      <c r="BP167">
        <v>12.72</v>
      </c>
      <c r="BQ167">
        <f t="shared" si="2"/>
        <v>356.15999999999997</v>
      </c>
      <c r="BR167" t="s">
        <v>119</v>
      </c>
    </row>
    <row r="168" spans="1:70">
      <c r="A168" t="s">
        <v>984</v>
      </c>
      <c r="B168" t="s">
        <v>985</v>
      </c>
      <c r="C168" t="s">
        <v>71</v>
      </c>
      <c r="D168" t="s">
        <v>289</v>
      </c>
      <c r="E168" t="s">
        <v>73</v>
      </c>
      <c r="F168" t="s">
        <v>74</v>
      </c>
      <c r="G168">
        <v>240656</v>
      </c>
      <c r="H168" t="s">
        <v>74</v>
      </c>
      <c r="I168" t="s">
        <v>75</v>
      </c>
      <c r="J168" t="s">
        <v>74</v>
      </c>
      <c r="K168" t="s">
        <v>986</v>
      </c>
      <c r="L168" t="s">
        <v>77</v>
      </c>
      <c r="M168" t="s">
        <v>78</v>
      </c>
      <c r="N168" t="s">
        <v>438</v>
      </c>
      <c r="O168" t="s">
        <v>987</v>
      </c>
      <c r="P168" t="s">
        <v>894</v>
      </c>
      <c r="X168">
        <v>12</v>
      </c>
      <c r="AF168" t="s">
        <v>379</v>
      </c>
      <c r="AG168" t="s">
        <v>296</v>
      </c>
      <c r="AH168" t="s">
        <v>379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1.8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185.4</v>
      </c>
      <c r="BE168">
        <v>0</v>
      </c>
      <c r="BF168">
        <v>480</v>
      </c>
      <c r="BG168">
        <v>0</v>
      </c>
      <c r="BH168">
        <v>0</v>
      </c>
      <c r="BI168">
        <v>96</v>
      </c>
      <c r="BJ168">
        <v>0</v>
      </c>
      <c r="BK168">
        <v>0</v>
      </c>
      <c r="BL168">
        <v>0</v>
      </c>
      <c r="BM168">
        <v>0</v>
      </c>
      <c r="BN168">
        <v>763.2</v>
      </c>
      <c r="BO168">
        <v>122.11</v>
      </c>
      <c r="BP168">
        <v>30.53</v>
      </c>
      <c r="BQ168">
        <f t="shared" si="2"/>
        <v>854.78000000000009</v>
      </c>
      <c r="BR168" t="s">
        <v>440</v>
      </c>
    </row>
    <row r="169" spans="1:70">
      <c r="A169" t="s">
        <v>988</v>
      </c>
      <c r="B169" t="s">
        <v>989</v>
      </c>
      <c r="C169" t="s">
        <v>71</v>
      </c>
      <c r="D169" t="s">
        <v>289</v>
      </c>
      <c r="E169" t="s">
        <v>73</v>
      </c>
      <c r="F169" t="s">
        <v>74</v>
      </c>
      <c r="G169" t="s">
        <v>990</v>
      </c>
      <c r="H169" t="s">
        <v>991</v>
      </c>
      <c r="I169" t="s">
        <v>75</v>
      </c>
      <c r="J169" t="s">
        <v>74</v>
      </c>
      <c r="K169" t="s">
        <v>992</v>
      </c>
      <c r="L169" t="s">
        <v>77</v>
      </c>
      <c r="M169" t="s">
        <v>78</v>
      </c>
      <c r="N169" t="s">
        <v>499</v>
      </c>
      <c r="O169" t="s">
        <v>993</v>
      </c>
      <c r="P169" t="s">
        <v>894</v>
      </c>
      <c r="AB169">
        <v>3</v>
      </c>
      <c r="AF169" t="s">
        <v>314</v>
      </c>
      <c r="AG169" t="s">
        <v>296</v>
      </c>
      <c r="AH169" t="s">
        <v>314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0.45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327.24</v>
      </c>
      <c r="BE169">
        <v>0</v>
      </c>
      <c r="BF169">
        <v>120</v>
      </c>
      <c r="BG169">
        <v>0</v>
      </c>
      <c r="BH169">
        <v>0</v>
      </c>
      <c r="BI169">
        <v>24</v>
      </c>
      <c r="BJ169">
        <v>0</v>
      </c>
      <c r="BK169">
        <v>0</v>
      </c>
      <c r="BL169">
        <v>0</v>
      </c>
      <c r="BM169">
        <v>0</v>
      </c>
      <c r="BN169">
        <v>471.69</v>
      </c>
      <c r="BO169">
        <v>75.47</v>
      </c>
      <c r="BP169">
        <v>18.87</v>
      </c>
      <c r="BQ169">
        <f t="shared" si="2"/>
        <v>528.29</v>
      </c>
      <c r="BR169" t="s">
        <v>501</v>
      </c>
    </row>
    <row r="170" spans="1:70">
      <c r="A170" t="s">
        <v>994</v>
      </c>
      <c r="B170" t="s">
        <v>995</v>
      </c>
      <c r="C170" t="s">
        <v>71</v>
      </c>
      <c r="D170" t="s">
        <v>289</v>
      </c>
      <c r="E170" t="s">
        <v>73</v>
      </c>
      <c r="F170" t="s">
        <v>74</v>
      </c>
      <c r="G170">
        <v>240650</v>
      </c>
      <c r="H170" t="s">
        <v>74</v>
      </c>
      <c r="I170" t="s">
        <v>75</v>
      </c>
      <c r="J170" t="s">
        <v>74</v>
      </c>
      <c r="K170" t="s">
        <v>996</v>
      </c>
      <c r="L170" t="s">
        <v>77</v>
      </c>
      <c r="M170" t="s">
        <v>78</v>
      </c>
      <c r="N170" t="s">
        <v>358</v>
      </c>
      <c r="O170" t="s">
        <v>997</v>
      </c>
      <c r="P170" t="s">
        <v>894</v>
      </c>
      <c r="X170">
        <v>26</v>
      </c>
      <c r="AF170" t="s">
        <v>920</v>
      </c>
      <c r="AG170" t="s">
        <v>296</v>
      </c>
      <c r="AH170" t="s">
        <v>920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3.9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1200.94</v>
      </c>
      <c r="BE170">
        <v>0</v>
      </c>
      <c r="BF170">
        <v>1040</v>
      </c>
      <c r="BG170">
        <v>0</v>
      </c>
      <c r="BH170">
        <v>0</v>
      </c>
      <c r="BI170">
        <v>208</v>
      </c>
      <c r="BJ170">
        <v>0</v>
      </c>
      <c r="BK170">
        <v>0</v>
      </c>
      <c r="BL170">
        <v>0</v>
      </c>
      <c r="BM170">
        <v>0</v>
      </c>
      <c r="BN170">
        <v>2452.84</v>
      </c>
      <c r="BO170">
        <v>392.45</v>
      </c>
      <c r="BP170">
        <v>98.12</v>
      </c>
      <c r="BQ170">
        <f t="shared" si="2"/>
        <v>2747.17</v>
      </c>
      <c r="BR170" t="s">
        <v>358</v>
      </c>
    </row>
    <row r="171" spans="1:70">
      <c r="A171" t="s">
        <v>998</v>
      </c>
      <c r="B171" t="s">
        <v>999</v>
      </c>
      <c r="C171" t="s">
        <v>71</v>
      </c>
      <c r="D171" t="s">
        <v>289</v>
      </c>
      <c r="E171" t="s">
        <v>73</v>
      </c>
      <c r="F171" t="s">
        <v>74</v>
      </c>
      <c r="G171">
        <v>240611</v>
      </c>
      <c r="H171" t="s">
        <v>74</v>
      </c>
      <c r="I171" t="s">
        <v>75</v>
      </c>
      <c r="J171" t="s">
        <v>74</v>
      </c>
      <c r="K171" t="s">
        <v>1000</v>
      </c>
      <c r="L171" t="s">
        <v>77</v>
      </c>
      <c r="M171" t="s">
        <v>78</v>
      </c>
      <c r="N171" t="s">
        <v>924</v>
      </c>
      <c r="O171" t="s">
        <v>1001</v>
      </c>
      <c r="P171" t="s">
        <v>894</v>
      </c>
      <c r="X171">
        <v>5</v>
      </c>
      <c r="AF171" t="s">
        <v>333</v>
      </c>
      <c r="AG171" t="s">
        <v>296</v>
      </c>
      <c r="AH171" t="s">
        <v>333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0.75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77.25</v>
      </c>
      <c r="BE171">
        <v>0</v>
      </c>
      <c r="BF171">
        <v>200</v>
      </c>
      <c r="BG171">
        <v>0</v>
      </c>
      <c r="BH171">
        <v>0</v>
      </c>
      <c r="BI171">
        <v>40</v>
      </c>
      <c r="BJ171">
        <v>0</v>
      </c>
      <c r="BK171">
        <v>0</v>
      </c>
      <c r="BL171">
        <v>0</v>
      </c>
      <c r="BM171">
        <v>0</v>
      </c>
      <c r="BN171">
        <v>318</v>
      </c>
      <c r="BO171">
        <v>50.88</v>
      </c>
      <c r="BP171">
        <v>12.72</v>
      </c>
      <c r="BQ171">
        <f t="shared" si="2"/>
        <v>356.15999999999997</v>
      </c>
      <c r="BR171" t="s">
        <v>757</v>
      </c>
    </row>
    <row r="172" spans="1:70">
      <c r="A172" t="s">
        <v>1002</v>
      </c>
      <c r="B172" t="s">
        <v>1003</v>
      </c>
      <c r="C172" t="s">
        <v>71</v>
      </c>
      <c r="D172" t="s">
        <v>289</v>
      </c>
      <c r="E172" t="s">
        <v>73</v>
      </c>
      <c r="F172" t="s">
        <v>74</v>
      </c>
      <c r="G172">
        <v>240714</v>
      </c>
      <c r="H172" t="s">
        <v>74</v>
      </c>
      <c r="I172" t="s">
        <v>75</v>
      </c>
      <c r="J172" t="s">
        <v>74</v>
      </c>
      <c r="K172" t="s">
        <v>1004</v>
      </c>
      <c r="L172" t="s">
        <v>77</v>
      </c>
      <c r="M172" t="s">
        <v>78</v>
      </c>
      <c r="N172" t="s">
        <v>558</v>
      </c>
      <c r="O172" t="s">
        <v>1005</v>
      </c>
      <c r="P172" t="s">
        <v>894</v>
      </c>
      <c r="X172">
        <v>8</v>
      </c>
      <c r="AF172" t="s">
        <v>1006</v>
      </c>
      <c r="AG172" t="s">
        <v>296</v>
      </c>
      <c r="AH172" t="s">
        <v>1006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1.2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369.52</v>
      </c>
      <c r="BE172">
        <v>0</v>
      </c>
      <c r="BF172">
        <v>320</v>
      </c>
      <c r="BG172">
        <v>0</v>
      </c>
      <c r="BH172">
        <v>0</v>
      </c>
      <c r="BI172">
        <v>64</v>
      </c>
      <c r="BJ172">
        <v>0</v>
      </c>
      <c r="BK172">
        <v>0</v>
      </c>
      <c r="BL172">
        <v>0</v>
      </c>
      <c r="BM172">
        <v>0</v>
      </c>
      <c r="BN172">
        <v>754.72</v>
      </c>
      <c r="BO172">
        <v>120.75</v>
      </c>
      <c r="BP172">
        <v>30.19</v>
      </c>
      <c r="BQ172">
        <f t="shared" si="2"/>
        <v>845.28</v>
      </c>
      <c r="BR172" t="s">
        <v>560</v>
      </c>
    </row>
    <row r="173" spans="1:70">
      <c r="A173" t="s">
        <v>1007</v>
      </c>
      <c r="B173" t="s">
        <v>1008</v>
      </c>
      <c r="C173" t="s">
        <v>71</v>
      </c>
      <c r="D173" t="s">
        <v>289</v>
      </c>
      <c r="E173" t="s">
        <v>73</v>
      </c>
      <c r="F173" t="s">
        <v>74</v>
      </c>
      <c r="G173">
        <v>240710</v>
      </c>
      <c r="H173" t="s">
        <v>74</v>
      </c>
      <c r="I173" t="s">
        <v>75</v>
      </c>
      <c r="J173" t="s">
        <v>74</v>
      </c>
      <c r="K173" t="s">
        <v>1009</v>
      </c>
      <c r="L173" t="s">
        <v>77</v>
      </c>
      <c r="M173" t="s">
        <v>78</v>
      </c>
      <c r="N173" t="s">
        <v>801</v>
      </c>
      <c r="O173" t="s">
        <v>1010</v>
      </c>
      <c r="P173" t="s">
        <v>894</v>
      </c>
      <c r="X173">
        <v>11</v>
      </c>
      <c r="AF173" t="s">
        <v>470</v>
      </c>
      <c r="AG173" t="s">
        <v>296</v>
      </c>
      <c r="AH173" t="s">
        <v>470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1.65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169.95</v>
      </c>
      <c r="BE173">
        <v>0</v>
      </c>
      <c r="BF173">
        <v>440</v>
      </c>
      <c r="BG173">
        <v>0</v>
      </c>
      <c r="BH173">
        <v>0</v>
      </c>
      <c r="BI173">
        <v>88</v>
      </c>
      <c r="BJ173">
        <v>0</v>
      </c>
      <c r="BK173">
        <v>0</v>
      </c>
      <c r="BL173">
        <v>0</v>
      </c>
      <c r="BM173">
        <v>0</v>
      </c>
      <c r="BN173">
        <v>699.6</v>
      </c>
      <c r="BO173">
        <v>111.93</v>
      </c>
      <c r="BP173">
        <v>27.99</v>
      </c>
      <c r="BQ173">
        <f t="shared" si="2"/>
        <v>783.54</v>
      </c>
      <c r="BR173" t="s">
        <v>801</v>
      </c>
    </row>
    <row r="174" spans="1:70">
      <c r="A174" t="s">
        <v>1011</v>
      </c>
      <c r="B174" t="s">
        <v>1012</v>
      </c>
      <c r="C174" t="s">
        <v>71</v>
      </c>
      <c r="D174" t="s">
        <v>289</v>
      </c>
      <c r="E174" t="s">
        <v>73</v>
      </c>
      <c r="F174" t="s">
        <v>74</v>
      </c>
      <c r="G174">
        <v>240711</v>
      </c>
      <c r="H174" t="s">
        <v>74</v>
      </c>
      <c r="I174" t="s">
        <v>75</v>
      </c>
      <c r="J174" t="s">
        <v>74</v>
      </c>
      <c r="K174" t="s">
        <v>1013</v>
      </c>
      <c r="L174" t="s">
        <v>77</v>
      </c>
      <c r="M174" t="s">
        <v>78</v>
      </c>
      <c r="N174" t="s">
        <v>191</v>
      </c>
      <c r="O174" t="s">
        <v>1014</v>
      </c>
      <c r="P174" t="s">
        <v>894</v>
      </c>
      <c r="X174">
        <v>13</v>
      </c>
      <c r="AF174" t="s">
        <v>434</v>
      </c>
      <c r="AG174" t="s">
        <v>296</v>
      </c>
      <c r="AH174" t="s">
        <v>434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1.95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600.47</v>
      </c>
      <c r="BE174">
        <v>0</v>
      </c>
      <c r="BF174">
        <v>520</v>
      </c>
      <c r="BG174">
        <v>0</v>
      </c>
      <c r="BH174">
        <v>0</v>
      </c>
      <c r="BI174">
        <v>104</v>
      </c>
      <c r="BJ174">
        <v>0</v>
      </c>
      <c r="BK174">
        <v>0</v>
      </c>
      <c r="BL174">
        <v>0</v>
      </c>
      <c r="BM174">
        <v>0</v>
      </c>
      <c r="BN174">
        <v>1226.42</v>
      </c>
      <c r="BO174">
        <v>196.23</v>
      </c>
      <c r="BP174">
        <v>49.06</v>
      </c>
      <c r="BQ174">
        <f t="shared" si="2"/>
        <v>1373.5900000000001</v>
      </c>
      <c r="BR174" t="s">
        <v>195</v>
      </c>
    </row>
    <row r="175" spans="1:70">
      <c r="A175" t="s">
        <v>1015</v>
      </c>
      <c r="B175" t="s">
        <v>1016</v>
      </c>
      <c r="C175" t="s">
        <v>71</v>
      </c>
      <c r="D175" t="s">
        <v>289</v>
      </c>
      <c r="E175" t="s">
        <v>73</v>
      </c>
      <c r="F175" t="s">
        <v>74</v>
      </c>
      <c r="G175">
        <v>240686</v>
      </c>
      <c r="H175" t="s">
        <v>74</v>
      </c>
      <c r="I175" t="s">
        <v>75</v>
      </c>
      <c r="J175" t="s">
        <v>74</v>
      </c>
      <c r="K175" t="s">
        <v>1017</v>
      </c>
      <c r="L175" t="s">
        <v>77</v>
      </c>
      <c r="M175" t="s">
        <v>78</v>
      </c>
      <c r="N175" t="s">
        <v>406</v>
      </c>
      <c r="O175" t="s">
        <v>666</v>
      </c>
      <c r="P175" t="s">
        <v>894</v>
      </c>
      <c r="AD175">
        <v>4</v>
      </c>
      <c r="AF175" t="s">
        <v>326</v>
      </c>
      <c r="AG175" t="s">
        <v>296</v>
      </c>
      <c r="AH175" t="s">
        <v>326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0.6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231.4</v>
      </c>
      <c r="BE175">
        <v>0</v>
      </c>
      <c r="BF175">
        <v>160</v>
      </c>
      <c r="BG175">
        <v>0</v>
      </c>
      <c r="BH175">
        <v>0</v>
      </c>
      <c r="BI175">
        <v>32</v>
      </c>
      <c r="BJ175">
        <v>0</v>
      </c>
      <c r="BK175">
        <v>0</v>
      </c>
      <c r="BL175">
        <v>0</v>
      </c>
      <c r="BM175">
        <v>0</v>
      </c>
      <c r="BN175">
        <v>424</v>
      </c>
      <c r="BO175">
        <v>67.84</v>
      </c>
      <c r="BP175">
        <v>16.96</v>
      </c>
      <c r="BQ175">
        <f t="shared" si="2"/>
        <v>474.88000000000005</v>
      </c>
      <c r="BR175" t="s">
        <v>406</v>
      </c>
    </row>
    <row r="176" spans="1:70">
      <c r="A176" t="s">
        <v>1018</v>
      </c>
      <c r="B176" t="s">
        <v>1019</v>
      </c>
      <c r="C176" t="s">
        <v>71</v>
      </c>
      <c r="D176" t="s">
        <v>289</v>
      </c>
      <c r="E176" t="s">
        <v>73</v>
      </c>
      <c r="F176" t="s">
        <v>74</v>
      </c>
      <c r="G176">
        <v>240697</v>
      </c>
      <c r="H176" t="s">
        <v>74</v>
      </c>
      <c r="I176" t="s">
        <v>75</v>
      </c>
      <c r="J176" t="s">
        <v>74</v>
      </c>
      <c r="K176" t="s">
        <v>1020</v>
      </c>
      <c r="L176" t="s">
        <v>77</v>
      </c>
      <c r="M176" t="s">
        <v>78</v>
      </c>
      <c r="N176" t="s">
        <v>79</v>
      </c>
      <c r="O176" t="s">
        <v>1021</v>
      </c>
      <c r="P176" t="s">
        <v>894</v>
      </c>
      <c r="X176">
        <v>23</v>
      </c>
      <c r="AF176" t="s">
        <v>428</v>
      </c>
      <c r="AG176" t="s">
        <v>296</v>
      </c>
      <c r="AH176" t="s">
        <v>428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3.45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355.35</v>
      </c>
      <c r="BE176">
        <v>0</v>
      </c>
      <c r="BF176">
        <v>920</v>
      </c>
      <c r="BG176">
        <v>0</v>
      </c>
      <c r="BH176">
        <v>0</v>
      </c>
      <c r="BI176">
        <v>184</v>
      </c>
      <c r="BJ176">
        <v>0</v>
      </c>
      <c r="BK176">
        <v>0</v>
      </c>
      <c r="BL176">
        <v>0</v>
      </c>
      <c r="BM176">
        <v>0</v>
      </c>
      <c r="BN176">
        <v>1462.8</v>
      </c>
      <c r="BO176">
        <v>234.05</v>
      </c>
      <c r="BP176">
        <v>58.51</v>
      </c>
      <c r="BQ176">
        <f t="shared" si="2"/>
        <v>1638.34</v>
      </c>
      <c r="BR176" t="s">
        <v>83</v>
      </c>
    </row>
    <row r="177" spans="1:70">
      <c r="A177" t="s">
        <v>1022</v>
      </c>
      <c r="B177" t="s">
        <v>1023</v>
      </c>
      <c r="C177" t="s">
        <v>71</v>
      </c>
      <c r="D177" t="s">
        <v>289</v>
      </c>
      <c r="E177" t="s">
        <v>73</v>
      </c>
      <c r="F177" t="s">
        <v>74</v>
      </c>
      <c r="G177" t="s">
        <v>1024</v>
      </c>
      <c r="H177" t="s">
        <v>74</v>
      </c>
      <c r="I177" t="s">
        <v>75</v>
      </c>
      <c r="J177" t="s">
        <v>74</v>
      </c>
      <c r="K177" t="s">
        <v>1025</v>
      </c>
      <c r="L177" t="s">
        <v>77</v>
      </c>
      <c r="M177" t="s">
        <v>78</v>
      </c>
      <c r="N177" t="s">
        <v>748</v>
      </c>
      <c r="O177" t="s">
        <v>1026</v>
      </c>
      <c r="P177" t="s">
        <v>108</v>
      </c>
      <c r="T177">
        <v>1</v>
      </c>
      <c r="AF177" t="s">
        <v>823</v>
      </c>
      <c r="AG177" t="s">
        <v>296</v>
      </c>
      <c r="AH177" t="s">
        <v>823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36.46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1071.1300000000001</v>
      </c>
      <c r="BE177">
        <v>0</v>
      </c>
      <c r="BF177">
        <v>458.08</v>
      </c>
      <c r="BG177">
        <v>0</v>
      </c>
      <c r="BH177">
        <v>0</v>
      </c>
      <c r="BI177">
        <v>421.62</v>
      </c>
      <c r="BJ177">
        <v>0</v>
      </c>
      <c r="BK177">
        <v>0</v>
      </c>
      <c r="BL177">
        <v>0</v>
      </c>
      <c r="BM177">
        <v>0</v>
      </c>
      <c r="BN177">
        <v>1987.29</v>
      </c>
      <c r="BO177">
        <v>317.95999999999998</v>
      </c>
      <c r="BP177">
        <v>79.489999999999995</v>
      </c>
      <c r="BQ177">
        <f t="shared" si="2"/>
        <v>2225.7600000000002</v>
      </c>
      <c r="BR177" t="s">
        <v>748</v>
      </c>
    </row>
    <row r="178" spans="1:70">
      <c r="A178" t="s">
        <v>1027</v>
      </c>
      <c r="B178" t="s">
        <v>1028</v>
      </c>
      <c r="C178" t="s">
        <v>71</v>
      </c>
      <c r="D178" t="s">
        <v>289</v>
      </c>
      <c r="E178" t="s">
        <v>73</v>
      </c>
      <c r="F178" t="s">
        <v>74</v>
      </c>
      <c r="G178">
        <v>240793</v>
      </c>
      <c r="H178" t="s">
        <v>74</v>
      </c>
      <c r="I178" t="s">
        <v>75</v>
      </c>
      <c r="J178" t="s">
        <v>74</v>
      </c>
      <c r="K178" t="s">
        <v>1029</v>
      </c>
      <c r="L178" t="s">
        <v>77</v>
      </c>
      <c r="M178" t="s">
        <v>78</v>
      </c>
      <c r="N178" t="s">
        <v>343</v>
      </c>
      <c r="O178" t="s">
        <v>1030</v>
      </c>
      <c r="P178" t="s">
        <v>108</v>
      </c>
      <c r="X178">
        <v>5</v>
      </c>
      <c r="AF178" t="s">
        <v>333</v>
      </c>
      <c r="AG178" t="s">
        <v>296</v>
      </c>
      <c r="AH178" t="s">
        <v>333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0.75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77.25</v>
      </c>
      <c r="BE178">
        <v>0</v>
      </c>
      <c r="BF178">
        <v>200</v>
      </c>
      <c r="BG178">
        <v>0</v>
      </c>
      <c r="BH178">
        <v>0</v>
      </c>
      <c r="BI178">
        <v>40</v>
      </c>
      <c r="BJ178">
        <v>0</v>
      </c>
      <c r="BK178">
        <v>0</v>
      </c>
      <c r="BL178">
        <v>0</v>
      </c>
      <c r="BM178">
        <v>0</v>
      </c>
      <c r="BN178">
        <v>318</v>
      </c>
      <c r="BO178">
        <v>50.88</v>
      </c>
      <c r="BP178">
        <v>12.72</v>
      </c>
      <c r="BQ178">
        <f t="shared" si="2"/>
        <v>356.15999999999997</v>
      </c>
      <c r="BR178" t="s">
        <v>343</v>
      </c>
    </row>
    <row r="179" spans="1:70">
      <c r="A179" t="s">
        <v>1031</v>
      </c>
      <c r="B179" t="s">
        <v>1032</v>
      </c>
      <c r="C179" t="s">
        <v>71</v>
      </c>
      <c r="D179" t="s">
        <v>289</v>
      </c>
      <c r="E179" t="s">
        <v>73</v>
      </c>
      <c r="F179" t="s">
        <v>74</v>
      </c>
      <c r="G179">
        <v>240724</v>
      </c>
      <c r="H179" t="s">
        <v>74</v>
      </c>
      <c r="I179" t="s">
        <v>75</v>
      </c>
      <c r="J179" t="s">
        <v>74</v>
      </c>
      <c r="K179" t="s">
        <v>1033</v>
      </c>
      <c r="L179" t="s">
        <v>77</v>
      </c>
      <c r="M179" t="s">
        <v>78</v>
      </c>
      <c r="N179" t="s">
        <v>880</v>
      </c>
      <c r="O179" t="s">
        <v>1034</v>
      </c>
      <c r="P179" t="s">
        <v>108</v>
      </c>
      <c r="X179">
        <v>22</v>
      </c>
      <c r="AF179" t="s">
        <v>445</v>
      </c>
      <c r="AG179" t="s">
        <v>296</v>
      </c>
      <c r="AH179" t="s">
        <v>445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3.3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1016.18</v>
      </c>
      <c r="BE179">
        <v>0</v>
      </c>
      <c r="BF179">
        <v>880</v>
      </c>
      <c r="BG179">
        <v>0</v>
      </c>
      <c r="BH179">
        <v>0</v>
      </c>
      <c r="BI179">
        <v>176</v>
      </c>
      <c r="BJ179">
        <v>0</v>
      </c>
      <c r="BK179">
        <v>0</v>
      </c>
      <c r="BL179">
        <v>0</v>
      </c>
      <c r="BM179">
        <v>0</v>
      </c>
      <c r="BN179">
        <v>2075.48</v>
      </c>
      <c r="BO179">
        <v>332.08</v>
      </c>
      <c r="BP179">
        <v>83.02</v>
      </c>
      <c r="BQ179">
        <f t="shared" si="2"/>
        <v>2324.54</v>
      </c>
      <c r="BR179" t="s">
        <v>880</v>
      </c>
    </row>
    <row r="180" spans="1:70">
      <c r="A180" t="s">
        <v>1035</v>
      </c>
      <c r="B180" t="s">
        <v>1036</v>
      </c>
      <c r="C180" t="s">
        <v>71</v>
      </c>
      <c r="D180" t="s">
        <v>289</v>
      </c>
      <c r="E180" t="s">
        <v>73</v>
      </c>
      <c r="F180" t="s">
        <v>74</v>
      </c>
      <c r="G180">
        <v>240788</v>
      </c>
      <c r="H180" t="s">
        <v>74</v>
      </c>
      <c r="I180" t="s">
        <v>75</v>
      </c>
      <c r="J180" t="s">
        <v>74</v>
      </c>
      <c r="K180" t="s">
        <v>1037</v>
      </c>
      <c r="L180" t="s">
        <v>77</v>
      </c>
      <c r="M180" t="s">
        <v>78</v>
      </c>
      <c r="N180" t="s">
        <v>307</v>
      </c>
      <c r="O180" t="s">
        <v>537</v>
      </c>
      <c r="P180" t="s">
        <v>108</v>
      </c>
      <c r="V180">
        <v>1</v>
      </c>
      <c r="AF180" t="s">
        <v>295</v>
      </c>
      <c r="AG180" t="s">
        <v>296</v>
      </c>
      <c r="AH180" t="s">
        <v>295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0.15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375.85</v>
      </c>
      <c r="BE180">
        <v>0</v>
      </c>
      <c r="BF180">
        <v>40</v>
      </c>
      <c r="BG180">
        <v>0</v>
      </c>
      <c r="BH180">
        <v>0</v>
      </c>
      <c r="BI180">
        <v>8</v>
      </c>
      <c r="BJ180">
        <v>0</v>
      </c>
      <c r="BK180">
        <v>0</v>
      </c>
      <c r="BL180">
        <v>0</v>
      </c>
      <c r="BM180">
        <v>0</v>
      </c>
      <c r="BN180">
        <v>424</v>
      </c>
      <c r="BO180">
        <v>67.84</v>
      </c>
      <c r="BP180">
        <v>16.96</v>
      </c>
      <c r="BQ180">
        <f t="shared" si="2"/>
        <v>474.88000000000005</v>
      </c>
      <c r="BR180" t="s">
        <v>294</v>
      </c>
    </row>
    <row r="181" spans="1:70">
      <c r="A181" t="s">
        <v>1038</v>
      </c>
      <c r="B181" t="s">
        <v>1039</v>
      </c>
      <c r="C181" t="s">
        <v>71</v>
      </c>
      <c r="D181" t="s">
        <v>289</v>
      </c>
      <c r="E181" t="s">
        <v>73</v>
      </c>
      <c r="F181" t="s">
        <v>74</v>
      </c>
      <c r="G181">
        <v>240786</v>
      </c>
      <c r="H181" t="s">
        <v>74</v>
      </c>
      <c r="I181" t="s">
        <v>75</v>
      </c>
      <c r="J181" t="s">
        <v>74</v>
      </c>
      <c r="K181" t="s">
        <v>1040</v>
      </c>
      <c r="L181" t="s">
        <v>77</v>
      </c>
      <c r="M181" t="s">
        <v>78</v>
      </c>
      <c r="N181" t="s">
        <v>950</v>
      </c>
      <c r="O181" t="s">
        <v>1041</v>
      </c>
      <c r="P181" t="s">
        <v>108</v>
      </c>
      <c r="X181">
        <v>15</v>
      </c>
      <c r="AF181" t="s">
        <v>235</v>
      </c>
      <c r="AG181" t="s">
        <v>296</v>
      </c>
      <c r="AH181" t="s">
        <v>235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2.25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231.75</v>
      </c>
      <c r="BE181">
        <v>0</v>
      </c>
      <c r="BF181">
        <v>600</v>
      </c>
      <c r="BG181">
        <v>0</v>
      </c>
      <c r="BH181">
        <v>0</v>
      </c>
      <c r="BI181">
        <v>120</v>
      </c>
      <c r="BJ181">
        <v>0</v>
      </c>
      <c r="BK181">
        <v>0</v>
      </c>
      <c r="BL181">
        <v>0</v>
      </c>
      <c r="BM181">
        <v>0</v>
      </c>
      <c r="BN181">
        <v>954</v>
      </c>
      <c r="BO181">
        <v>152.63999999999999</v>
      </c>
      <c r="BP181">
        <v>38.159999999999997</v>
      </c>
      <c r="BQ181">
        <f t="shared" si="2"/>
        <v>1068.4799999999998</v>
      </c>
      <c r="BR181" t="s">
        <v>950</v>
      </c>
    </row>
    <row r="182" spans="1:70">
      <c r="A182" t="s">
        <v>1042</v>
      </c>
      <c r="B182" t="s">
        <v>1043</v>
      </c>
      <c r="C182" t="s">
        <v>71</v>
      </c>
      <c r="D182" t="s">
        <v>289</v>
      </c>
      <c r="E182" t="s">
        <v>73</v>
      </c>
      <c r="F182" t="s">
        <v>74</v>
      </c>
      <c r="G182" t="s">
        <v>1044</v>
      </c>
      <c r="H182" t="s">
        <v>74</v>
      </c>
      <c r="I182" t="s">
        <v>75</v>
      </c>
      <c r="J182" t="s">
        <v>74</v>
      </c>
      <c r="K182" t="s">
        <v>1045</v>
      </c>
      <c r="L182" t="s">
        <v>77</v>
      </c>
      <c r="M182" t="s">
        <v>78</v>
      </c>
      <c r="N182" t="s">
        <v>161</v>
      </c>
      <c r="O182" t="s">
        <v>1046</v>
      </c>
      <c r="P182" t="s">
        <v>108</v>
      </c>
      <c r="AD182">
        <v>4</v>
      </c>
      <c r="AF182" t="s">
        <v>326</v>
      </c>
      <c r="AG182" t="s">
        <v>296</v>
      </c>
      <c r="AH182" t="s">
        <v>326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0.6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231.4</v>
      </c>
      <c r="BE182">
        <v>0</v>
      </c>
      <c r="BF182">
        <v>160</v>
      </c>
      <c r="BG182">
        <v>0</v>
      </c>
      <c r="BH182">
        <v>0</v>
      </c>
      <c r="BI182">
        <v>32</v>
      </c>
      <c r="BJ182">
        <v>0</v>
      </c>
      <c r="BK182">
        <v>0</v>
      </c>
      <c r="BL182">
        <v>0</v>
      </c>
      <c r="BM182">
        <v>0</v>
      </c>
      <c r="BN182">
        <v>424</v>
      </c>
      <c r="BO182">
        <v>67.84</v>
      </c>
      <c r="BP182">
        <v>16.96</v>
      </c>
      <c r="BQ182">
        <f t="shared" si="2"/>
        <v>474.88000000000005</v>
      </c>
      <c r="BR182" t="s">
        <v>83</v>
      </c>
    </row>
    <row r="183" spans="1:70">
      <c r="A183" t="s">
        <v>1047</v>
      </c>
      <c r="B183" t="s">
        <v>1048</v>
      </c>
      <c r="C183" t="s">
        <v>71</v>
      </c>
      <c r="D183" t="s">
        <v>289</v>
      </c>
      <c r="E183" t="s">
        <v>73</v>
      </c>
      <c r="F183" t="s">
        <v>74</v>
      </c>
      <c r="G183">
        <v>240783</v>
      </c>
      <c r="H183" t="s">
        <v>74</v>
      </c>
      <c r="I183" t="s">
        <v>75</v>
      </c>
      <c r="J183" t="s">
        <v>74</v>
      </c>
      <c r="K183" t="s">
        <v>1049</v>
      </c>
      <c r="L183" t="s">
        <v>77</v>
      </c>
      <c r="M183" t="s">
        <v>78</v>
      </c>
      <c r="N183" t="s">
        <v>964</v>
      </c>
      <c r="O183" t="s">
        <v>1050</v>
      </c>
      <c r="P183" t="s">
        <v>108</v>
      </c>
      <c r="X183">
        <v>20</v>
      </c>
      <c r="AF183" t="s">
        <v>384</v>
      </c>
      <c r="AG183" t="s">
        <v>296</v>
      </c>
      <c r="AH183" t="s">
        <v>384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3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923.8</v>
      </c>
      <c r="BE183">
        <v>0</v>
      </c>
      <c r="BF183">
        <v>800</v>
      </c>
      <c r="BG183">
        <v>0</v>
      </c>
      <c r="BH183">
        <v>0</v>
      </c>
      <c r="BI183">
        <v>160</v>
      </c>
      <c r="BJ183">
        <v>0</v>
      </c>
      <c r="BK183">
        <v>0</v>
      </c>
      <c r="BL183">
        <v>0</v>
      </c>
      <c r="BM183">
        <v>0</v>
      </c>
      <c r="BN183">
        <v>1886.8</v>
      </c>
      <c r="BO183">
        <v>301.89</v>
      </c>
      <c r="BP183">
        <v>75.47</v>
      </c>
      <c r="BQ183">
        <f t="shared" si="2"/>
        <v>2113.2200000000003</v>
      </c>
      <c r="BR183" t="s">
        <v>964</v>
      </c>
    </row>
    <row r="184" spans="1:70">
      <c r="A184" t="s">
        <v>1051</v>
      </c>
      <c r="B184" t="s">
        <v>1052</v>
      </c>
      <c r="C184" t="s">
        <v>71</v>
      </c>
      <c r="D184" t="s">
        <v>289</v>
      </c>
      <c r="E184" t="s">
        <v>73</v>
      </c>
      <c r="F184" t="s">
        <v>74</v>
      </c>
      <c r="G184">
        <v>240782</v>
      </c>
      <c r="H184" t="s">
        <v>74</v>
      </c>
      <c r="I184" t="s">
        <v>75</v>
      </c>
      <c r="J184" t="s">
        <v>74</v>
      </c>
      <c r="K184" t="s">
        <v>1053</v>
      </c>
      <c r="L184" t="s">
        <v>77</v>
      </c>
      <c r="M184" t="s">
        <v>78</v>
      </c>
      <c r="N184" t="s">
        <v>816</v>
      </c>
      <c r="O184" t="s">
        <v>1054</v>
      </c>
      <c r="P184" t="s">
        <v>108</v>
      </c>
      <c r="X184">
        <v>6</v>
      </c>
      <c r="AF184" t="s">
        <v>400</v>
      </c>
      <c r="AG184" t="s">
        <v>296</v>
      </c>
      <c r="AH184" t="s">
        <v>400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0.9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277.14</v>
      </c>
      <c r="BE184">
        <v>0</v>
      </c>
      <c r="BF184">
        <v>240</v>
      </c>
      <c r="BG184">
        <v>0</v>
      </c>
      <c r="BH184">
        <v>0</v>
      </c>
      <c r="BI184">
        <v>48</v>
      </c>
      <c r="BJ184">
        <v>0</v>
      </c>
      <c r="BK184">
        <v>0</v>
      </c>
      <c r="BL184">
        <v>0</v>
      </c>
      <c r="BM184">
        <v>0</v>
      </c>
      <c r="BN184">
        <v>566.04</v>
      </c>
      <c r="BO184">
        <v>90.56</v>
      </c>
      <c r="BP184">
        <v>22.65</v>
      </c>
      <c r="BQ184">
        <f t="shared" si="2"/>
        <v>633.94999999999993</v>
      </c>
      <c r="BR184" t="s">
        <v>332</v>
      </c>
    </row>
    <row r="185" spans="1:70">
      <c r="A185" t="s">
        <v>1055</v>
      </c>
      <c r="B185" t="s">
        <v>1056</v>
      </c>
      <c r="C185" t="s">
        <v>71</v>
      </c>
      <c r="D185" t="s">
        <v>289</v>
      </c>
      <c r="E185" t="s">
        <v>73</v>
      </c>
      <c r="F185" t="s">
        <v>74</v>
      </c>
      <c r="G185">
        <v>240781</v>
      </c>
      <c r="H185" t="s">
        <v>74</v>
      </c>
      <c r="I185" t="s">
        <v>75</v>
      </c>
      <c r="J185" t="s">
        <v>74</v>
      </c>
      <c r="K185" t="s">
        <v>1057</v>
      </c>
      <c r="L185" t="s">
        <v>77</v>
      </c>
      <c r="M185" t="s">
        <v>78</v>
      </c>
      <c r="N185" t="s">
        <v>161</v>
      </c>
      <c r="O185" t="s">
        <v>1058</v>
      </c>
      <c r="P185" t="s">
        <v>108</v>
      </c>
      <c r="X185">
        <v>31</v>
      </c>
      <c r="AF185" t="s">
        <v>1059</v>
      </c>
      <c r="AG185" t="s">
        <v>296</v>
      </c>
      <c r="AH185" t="s">
        <v>1059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4.6500000000000004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478.95</v>
      </c>
      <c r="BE185">
        <v>0</v>
      </c>
      <c r="BF185">
        <v>1240</v>
      </c>
      <c r="BG185">
        <v>0</v>
      </c>
      <c r="BH185">
        <v>0</v>
      </c>
      <c r="BI185">
        <v>248</v>
      </c>
      <c r="BJ185">
        <v>0</v>
      </c>
      <c r="BK185">
        <v>0</v>
      </c>
      <c r="BL185">
        <v>0</v>
      </c>
      <c r="BM185">
        <v>0</v>
      </c>
      <c r="BN185">
        <v>1971.6</v>
      </c>
      <c r="BO185">
        <v>315.45</v>
      </c>
      <c r="BP185">
        <v>78.87</v>
      </c>
      <c r="BQ185">
        <f t="shared" si="2"/>
        <v>2208.1799999999998</v>
      </c>
      <c r="BR185" t="s">
        <v>83</v>
      </c>
    </row>
    <row r="186" spans="1:70">
      <c r="A186" t="s">
        <v>1060</v>
      </c>
      <c r="B186" t="s">
        <v>1061</v>
      </c>
      <c r="C186" t="s">
        <v>71</v>
      </c>
      <c r="D186" t="s">
        <v>289</v>
      </c>
      <c r="E186" t="s">
        <v>73</v>
      </c>
      <c r="F186" t="s">
        <v>74</v>
      </c>
      <c r="G186" t="s">
        <v>1062</v>
      </c>
      <c r="H186" t="s">
        <v>74</v>
      </c>
      <c r="I186" t="s">
        <v>75</v>
      </c>
      <c r="J186" t="s">
        <v>74</v>
      </c>
      <c r="K186" t="s">
        <v>1063</v>
      </c>
      <c r="L186" t="s">
        <v>77</v>
      </c>
      <c r="M186" t="s">
        <v>78</v>
      </c>
      <c r="N186" t="s">
        <v>1064</v>
      </c>
      <c r="O186" t="s">
        <v>1065</v>
      </c>
      <c r="P186" t="s">
        <v>108</v>
      </c>
      <c r="X186">
        <v>20</v>
      </c>
      <c r="AF186" t="s">
        <v>384</v>
      </c>
      <c r="AG186" t="s">
        <v>296</v>
      </c>
      <c r="AH186" t="s">
        <v>384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3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309</v>
      </c>
      <c r="BE186">
        <v>0</v>
      </c>
      <c r="BF186">
        <v>800</v>
      </c>
      <c r="BG186">
        <v>0</v>
      </c>
      <c r="BH186">
        <v>0</v>
      </c>
      <c r="BI186">
        <v>160</v>
      </c>
      <c r="BJ186">
        <v>0</v>
      </c>
      <c r="BK186">
        <v>0</v>
      </c>
      <c r="BL186">
        <v>0</v>
      </c>
      <c r="BM186">
        <v>0</v>
      </c>
      <c r="BN186">
        <v>1272</v>
      </c>
      <c r="BO186">
        <v>203.52</v>
      </c>
      <c r="BP186">
        <v>50.88</v>
      </c>
      <c r="BQ186">
        <f t="shared" si="2"/>
        <v>1424.6399999999999</v>
      </c>
      <c r="BR186" t="s">
        <v>83</v>
      </c>
    </row>
    <row r="187" spans="1:70">
      <c r="A187" t="s">
        <v>1066</v>
      </c>
      <c r="B187" t="s">
        <v>1067</v>
      </c>
      <c r="C187" t="s">
        <v>71</v>
      </c>
      <c r="D187" t="s">
        <v>289</v>
      </c>
      <c r="E187" t="s">
        <v>73</v>
      </c>
      <c r="F187" t="s">
        <v>74</v>
      </c>
      <c r="G187">
        <v>240778</v>
      </c>
      <c r="H187" t="s">
        <v>74</v>
      </c>
      <c r="I187" t="s">
        <v>75</v>
      </c>
      <c r="J187" t="s">
        <v>74</v>
      </c>
      <c r="K187" t="s">
        <v>1068</v>
      </c>
      <c r="L187" t="s">
        <v>77</v>
      </c>
      <c r="M187" t="s">
        <v>78</v>
      </c>
      <c r="N187" t="s">
        <v>349</v>
      </c>
      <c r="O187" t="s">
        <v>1069</v>
      </c>
      <c r="P187" t="s">
        <v>108</v>
      </c>
      <c r="V187">
        <v>1</v>
      </c>
      <c r="AF187" t="s">
        <v>295</v>
      </c>
      <c r="AG187" t="s">
        <v>296</v>
      </c>
      <c r="AH187" t="s">
        <v>295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0.15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423.55</v>
      </c>
      <c r="BE187">
        <v>0</v>
      </c>
      <c r="BF187">
        <v>40</v>
      </c>
      <c r="BG187">
        <v>0</v>
      </c>
      <c r="BH187">
        <v>0</v>
      </c>
      <c r="BI187">
        <v>8</v>
      </c>
      <c r="BJ187">
        <v>0</v>
      </c>
      <c r="BK187">
        <v>0</v>
      </c>
      <c r="BL187">
        <v>0</v>
      </c>
      <c r="BM187">
        <v>0</v>
      </c>
      <c r="BN187">
        <v>471.7</v>
      </c>
      <c r="BO187">
        <v>75.47</v>
      </c>
      <c r="BP187">
        <v>18.87</v>
      </c>
      <c r="BQ187">
        <f t="shared" si="2"/>
        <v>528.29999999999995</v>
      </c>
      <c r="BR187" t="s">
        <v>349</v>
      </c>
    </row>
    <row r="188" spans="1:70">
      <c r="A188" t="s">
        <v>1070</v>
      </c>
      <c r="B188" t="s">
        <v>1071</v>
      </c>
      <c r="C188" t="s">
        <v>71</v>
      </c>
      <c r="D188" t="s">
        <v>289</v>
      </c>
      <c r="E188" t="s">
        <v>73</v>
      </c>
      <c r="F188" t="s">
        <v>74</v>
      </c>
      <c r="G188">
        <v>240777</v>
      </c>
      <c r="H188" t="s">
        <v>74</v>
      </c>
      <c r="I188" t="s">
        <v>75</v>
      </c>
      <c r="J188" t="s">
        <v>74</v>
      </c>
      <c r="K188" t="s">
        <v>1072</v>
      </c>
      <c r="L188" t="s">
        <v>77</v>
      </c>
      <c r="M188" t="s">
        <v>78</v>
      </c>
      <c r="N188" t="s">
        <v>499</v>
      </c>
      <c r="O188" t="s">
        <v>500</v>
      </c>
      <c r="P188" t="s">
        <v>108</v>
      </c>
      <c r="Z188">
        <v>2</v>
      </c>
      <c r="AF188" t="s">
        <v>339</v>
      </c>
      <c r="AG188" t="s">
        <v>296</v>
      </c>
      <c r="AH188" t="s">
        <v>339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0.3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375.4</v>
      </c>
      <c r="BE188">
        <v>0</v>
      </c>
      <c r="BF188">
        <v>80</v>
      </c>
      <c r="BG188">
        <v>0</v>
      </c>
      <c r="BH188">
        <v>0</v>
      </c>
      <c r="BI188">
        <v>16</v>
      </c>
      <c r="BJ188">
        <v>0</v>
      </c>
      <c r="BK188">
        <v>0</v>
      </c>
      <c r="BL188">
        <v>0</v>
      </c>
      <c r="BM188">
        <v>0</v>
      </c>
      <c r="BN188">
        <v>471.7</v>
      </c>
      <c r="BO188">
        <v>75.47</v>
      </c>
      <c r="BP188">
        <v>18.87</v>
      </c>
      <c r="BQ188">
        <f t="shared" si="2"/>
        <v>528.29999999999995</v>
      </c>
      <c r="BR188" t="s">
        <v>501</v>
      </c>
    </row>
    <row r="189" spans="1:70">
      <c r="A189" t="s">
        <v>1073</v>
      </c>
      <c r="B189" t="s">
        <v>1074</v>
      </c>
      <c r="C189" t="s">
        <v>71</v>
      </c>
      <c r="D189" t="s">
        <v>289</v>
      </c>
      <c r="E189" t="s">
        <v>73</v>
      </c>
      <c r="F189" t="s">
        <v>74</v>
      </c>
      <c r="G189">
        <v>240775</v>
      </c>
      <c r="H189" t="s">
        <v>74</v>
      </c>
      <c r="I189" t="s">
        <v>75</v>
      </c>
      <c r="J189" t="s">
        <v>74</v>
      </c>
      <c r="K189" t="s">
        <v>1075</v>
      </c>
      <c r="L189" t="s">
        <v>77</v>
      </c>
      <c r="M189" t="s">
        <v>78</v>
      </c>
      <c r="N189" t="s">
        <v>832</v>
      </c>
      <c r="O189" t="s">
        <v>1076</v>
      </c>
      <c r="P189" t="s">
        <v>108</v>
      </c>
      <c r="X189">
        <v>19</v>
      </c>
      <c r="AF189" t="s">
        <v>569</v>
      </c>
      <c r="AG189" t="s">
        <v>296</v>
      </c>
      <c r="AH189" t="s">
        <v>569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2.85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293.55</v>
      </c>
      <c r="BE189">
        <v>0</v>
      </c>
      <c r="BF189">
        <v>760</v>
      </c>
      <c r="BG189">
        <v>0</v>
      </c>
      <c r="BH189">
        <v>0</v>
      </c>
      <c r="BI189">
        <v>152</v>
      </c>
      <c r="BJ189">
        <v>0</v>
      </c>
      <c r="BK189">
        <v>0</v>
      </c>
      <c r="BL189">
        <v>0</v>
      </c>
      <c r="BM189">
        <v>0</v>
      </c>
      <c r="BN189">
        <v>1208.4000000000001</v>
      </c>
      <c r="BO189">
        <v>193.35</v>
      </c>
      <c r="BP189">
        <v>48.33</v>
      </c>
      <c r="BQ189">
        <f t="shared" si="2"/>
        <v>1353.42</v>
      </c>
      <c r="BR189" t="s">
        <v>832</v>
      </c>
    </row>
    <row r="190" spans="1:70">
      <c r="A190" t="s">
        <v>1077</v>
      </c>
      <c r="B190" t="s">
        <v>1078</v>
      </c>
      <c r="C190" t="s">
        <v>71</v>
      </c>
      <c r="D190" t="s">
        <v>289</v>
      </c>
      <c r="E190" t="s">
        <v>73</v>
      </c>
      <c r="F190" t="s">
        <v>74</v>
      </c>
      <c r="G190">
        <v>240773</v>
      </c>
      <c r="H190" t="s">
        <v>74</v>
      </c>
      <c r="I190" t="s">
        <v>75</v>
      </c>
      <c r="J190" t="s">
        <v>74</v>
      </c>
      <c r="K190" t="s">
        <v>1079</v>
      </c>
      <c r="L190" t="s">
        <v>77</v>
      </c>
      <c r="M190" t="s">
        <v>78</v>
      </c>
      <c r="N190" t="s">
        <v>191</v>
      </c>
      <c r="O190" t="s">
        <v>1080</v>
      </c>
      <c r="P190" t="s">
        <v>108</v>
      </c>
      <c r="X190">
        <v>9</v>
      </c>
      <c r="AF190" t="s">
        <v>407</v>
      </c>
      <c r="AG190" t="s">
        <v>296</v>
      </c>
      <c r="AH190" t="s">
        <v>407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1.35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415.71</v>
      </c>
      <c r="BE190">
        <v>0</v>
      </c>
      <c r="BF190">
        <v>360</v>
      </c>
      <c r="BG190">
        <v>0</v>
      </c>
      <c r="BH190">
        <v>0</v>
      </c>
      <c r="BI190">
        <v>72</v>
      </c>
      <c r="BJ190">
        <v>0</v>
      </c>
      <c r="BK190">
        <v>0</v>
      </c>
      <c r="BL190">
        <v>0</v>
      </c>
      <c r="BM190">
        <v>0</v>
      </c>
      <c r="BN190">
        <v>849.06</v>
      </c>
      <c r="BO190">
        <v>135.85</v>
      </c>
      <c r="BP190">
        <v>33.96</v>
      </c>
      <c r="BQ190">
        <f t="shared" si="2"/>
        <v>950.94999999999993</v>
      </c>
      <c r="BR190" t="s">
        <v>195</v>
      </c>
    </row>
    <row r="191" spans="1:70">
      <c r="A191" t="s">
        <v>1081</v>
      </c>
      <c r="B191" t="s">
        <v>1082</v>
      </c>
      <c r="C191" t="s">
        <v>71</v>
      </c>
      <c r="D191" t="s">
        <v>289</v>
      </c>
      <c r="E191" t="s">
        <v>73</v>
      </c>
      <c r="F191" t="s">
        <v>74</v>
      </c>
      <c r="G191" t="s">
        <v>1083</v>
      </c>
      <c r="H191" t="s">
        <v>74</v>
      </c>
      <c r="I191" t="s">
        <v>75</v>
      </c>
      <c r="J191" t="s">
        <v>74</v>
      </c>
      <c r="K191" t="s">
        <v>1084</v>
      </c>
      <c r="L191" t="s">
        <v>77</v>
      </c>
      <c r="M191" t="s">
        <v>78</v>
      </c>
      <c r="N191" t="s">
        <v>324</v>
      </c>
      <c r="O191" t="s">
        <v>325</v>
      </c>
      <c r="P191" t="s">
        <v>108</v>
      </c>
      <c r="AD191">
        <v>4</v>
      </c>
      <c r="AF191" t="s">
        <v>326</v>
      </c>
      <c r="AG191" t="s">
        <v>296</v>
      </c>
      <c r="AH191" t="s">
        <v>326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0.6</v>
      </c>
      <c r="AT191">
        <v>0</v>
      </c>
      <c r="AU191">
        <v>0</v>
      </c>
      <c r="AV191">
        <v>105.16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279.12</v>
      </c>
      <c r="BE191">
        <v>0</v>
      </c>
      <c r="BF191">
        <v>160</v>
      </c>
      <c r="BG191">
        <v>0</v>
      </c>
      <c r="BH191">
        <v>0</v>
      </c>
      <c r="BI191">
        <v>32</v>
      </c>
      <c r="BJ191">
        <v>0</v>
      </c>
      <c r="BK191">
        <v>0</v>
      </c>
      <c r="BL191">
        <v>0</v>
      </c>
      <c r="BM191">
        <v>0</v>
      </c>
      <c r="BN191">
        <v>576.88</v>
      </c>
      <c r="BO191">
        <v>92.31</v>
      </c>
      <c r="BP191">
        <v>18.86</v>
      </c>
      <c r="BQ191">
        <f t="shared" si="2"/>
        <v>650.33000000000004</v>
      </c>
      <c r="BR191" t="s">
        <v>324</v>
      </c>
    </row>
    <row r="192" spans="1:70">
      <c r="A192" t="s">
        <v>1085</v>
      </c>
      <c r="B192" t="s">
        <v>1086</v>
      </c>
      <c r="C192" t="s">
        <v>71</v>
      </c>
      <c r="D192" t="s">
        <v>289</v>
      </c>
      <c r="E192" t="s">
        <v>73</v>
      </c>
      <c r="F192" t="s">
        <v>74</v>
      </c>
      <c r="G192">
        <v>240769</v>
      </c>
      <c r="H192" t="s">
        <v>74</v>
      </c>
      <c r="I192" t="s">
        <v>75</v>
      </c>
      <c r="J192" t="s">
        <v>74</v>
      </c>
      <c r="K192" t="s">
        <v>1087</v>
      </c>
      <c r="L192" t="s">
        <v>77</v>
      </c>
      <c r="M192" t="s">
        <v>78</v>
      </c>
      <c r="N192" t="s">
        <v>1088</v>
      </c>
      <c r="O192" t="s">
        <v>1089</v>
      </c>
      <c r="P192" t="s">
        <v>108</v>
      </c>
      <c r="X192">
        <v>19</v>
      </c>
      <c r="AF192" t="s">
        <v>569</v>
      </c>
      <c r="AG192" t="s">
        <v>296</v>
      </c>
      <c r="AH192" t="s">
        <v>569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2.85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293.55</v>
      </c>
      <c r="BE192">
        <v>0</v>
      </c>
      <c r="BF192">
        <v>760</v>
      </c>
      <c r="BG192">
        <v>0</v>
      </c>
      <c r="BH192">
        <v>0</v>
      </c>
      <c r="BI192">
        <v>152</v>
      </c>
      <c r="BJ192">
        <v>0</v>
      </c>
      <c r="BK192">
        <v>0</v>
      </c>
      <c r="BL192">
        <v>0</v>
      </c>
      <c r="BM192">
        <v>0</v>
      </c>
      <c r="BN192">
        <v>1208.4000000000001</v>
      </c>
      <c r="BO192">
        <v>193.35</v>
      </c>
      <c r="BP192">
        <v>48.33</v>
      </c>
      <c r="BQ192">
        <f t="shared" si="2"/>
        <v>1353.42</v>
      </c>
      <c r="BR192" t="s">
        <v>83</v>
      </c>
    </row>
    <row r="193" spans="1:70">
      <c r="A193" t="s">
        <v>1090</v>
      </c>
      <c r="B193" t="s">
        <v>1091</v>
      </c>
      <c r="C193" t="s">
        <v>71</v>
      </c>
      <c r="D193" t="s">
        <v>289</v>
      </c>
      <c r="E193" t="s">
        <v>73</v>
      </c>
      <c r="F193" t="s">
        <v>74</v>
      </c>
      <c r="G193">
        <v>240768</v>
      </c>
      <c r="H193" t="s">
        <v>74</v>
      </c>
      <c r="I193" t="s">
        <v>75</v>
      </c>
      <c r="J193" t="s">
        <v>74</v>
      </c>
      <c r="K193" t="s">
        <v>1092</v>
      </c>
      <c r="L193" t="s">
        <v>77</v>
      </c>
      <c r="M193" t="s">
        <v>78</v>
      </c>
      <c r="N193" t="s">
        <v>649</v>
      </c>
      <c r="O193" t="s">
        <v>1093</v>
      </c>
      <c r="P193" t="s">
        <v>108</v>
      </c>
      <c r="X193">
        <v>10</v>
      </c>
      <c r="AF193" t="s">
        <v>372</v>
      </c>
      <c r="AG193" t="s">
        <v>296</v>
      </c>
      <c r="AH193" t="s">
        <v>372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1.5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154.5</v>
      </c>
      <c r="BE193">
        <v>0</v>
      </c>
      <c r="BF193">
        <v>400</v>
      </c>
      <c r="BG193">
        <v>0</v>
      </c>
      <c r="BH193">
        <v>0</v>
      </c>
      <c r="BI193">
        <v>80</v>
      </c>
      <c r="BJ193">
        <v>0</v>
      </c>
      <c r="BK193">
        <v>0</v>
      </c>
      <c r="BL193">
        <v>0</v>
      </c>
      <c r="BM193">
        <v>0</v>
      </c>
      <c r="BN193">
        <v>636</v>
      </c>
      <c r="BO193">
        <v>101.76</v>
      </c>
      <c r="BP193">
        <v>25.44</v>
      </c>
      <c r="BQ193">
        <f t="shared" si="2"/>
        <v>712.31999999999994</v>
      </c>
      <c r="BR193" t="s">
        <v>649</v>
      </c>
    </row>
    <row r="194" spans="1:70">
      <c r="A194" t="s">
        <v>1094</v>
      </c>
      <c r="B194" t="s">
        <v>1095</v>
      </c>
      <c r="C194" t="s">
        <v>71</v>
      </c>
      <c r="D194" t="s">
        <v>289</v>
      </c>
      <c r="E194" t="s">
        <v>73</v>
      </c>
      <c r="F194" t="s">
        <v>74</v>
      </c>
      <c r="G194">
        <v>240767</v>
      </c>
      <c r="H194" t="s">
        <v>74</v>
      </c>
      <c r="I194" t="s">
        <v>75</v>
      </c>
      <c r="J194" t="s">
        <v>74</v>
      </c>
      <c r="K194" t="s">
        <v>1096</v>
      </c>
      <c r="L194" t="s">
        <v>77</v>
      </c>
      <c r="M194" t="s">
        <v>78</v>
      </c>
      <c r="N194" t="s">
        <v>161</v>
      </c>
      <c r="O194" t="s">
        <v>1097</v>
      </c>
      <c r="P194" t="s">
        <v>108</v>
      </c>
      <c r="X194">
        <v>12</v>
      </c>
      <c r="AF194" t="s">
        <v>379</v>
      </c>
      <c r="AG194" t="s">
        <v>296</v>
      </c>
      <c r="AH194" t="s">
        <v>379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1.8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185.4</v>
      </c>
      <c r="BE194">
        <v>0</v>
      </c>
      <c r="BF194">
        <v>480</v>
      </c>
      <c r="BG194">
        <v>0</v>
      </c>
      <c r="BH194">
        <v>0</v>
      </c>
      <c r="BI194">
        <v>96</v>
      </c>
      <c r="BJ194">
        <v>0</v>
      </c>
      <c r="BK194">
        <v>0</v>
      </c>
      <c r="BL194">
        <v>0</v>
      </c>
      <c r="BM194">
        <v>0</v>
      </c>
      <c r="BN194">
        <v>763.2</v>
      </c>
      <c r="BO194">
        <v>122.11</v>
      </c>
      <c r="BP194">
        <v>30.53</v>
      </c>
      <c r="BQ194">
        <f t="shared" ref="BQ194:BQ257" si="3">(BN194+BO194-BP194)</f>
        <v>854.78000000000009</v>
      </c>
      <c r="BR194" t="s">
        <v>83</v>
      </c>
    </row>
    <row r="195" spans="1:70">
      <c r="A195" t="s">
        <v>1098</v>
      </c>
      <c r="B195" t="s">
        <v>1099</v>
      </c>
      <c r="C195" t="s">
        <v>71</v>
      </c>
      <c r="D195" t="s">
        <v>289</v>
      </c>
      <c r="E195" t="s">
        <v>73</v>
      </c>
      <c r="F195" t="s">
        <v>74</v>
      </c>
      <c r="G195">
        <v>240766</v>
      </c>
      <c r="H195" t="s">
        <v>74</v>
      </c>
      <c r="I195" t="s">
        <v>75</v>
      </c>
      <c r="J195" t="s">
        <v>74</v>
      </c>
      <c r="K195" t="s">
        <v>1100</v>
      </c>
      <c r="L195" t="s">
        <v>77</v>
      </c>
      <c r="M195" t="s">
        <v>78</v>
      </c>
      <c r="N195" t="s">
        <v>1101</v>
      </c>
      <c r="O195" t="s">
        <v>1102</v>
      </c>
      <c r="P195" t="s">
        <v>108</v>
      </c>
      <c r="X195">
        <v>27</v>
      </c>
      <c r="AF195" t="s">
        <v>868</v>
      </c>
      <c r="AG195" t="s">
        <v>296</v>
      </c>
      <c r="AH195" t="s">
        <v>868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4.05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1247.1300000000001</v>
      </c>
      <c r="BE195">
        <v>0</v>
      </c>
      <c r="BF195">
        <v>1080</v>
      </c>
      <c r="BG195">
        <v>0</v>
      </c>
      <c r="BH195">
        <v>0</v>
      </c>
      <c r="BI195">
        <v>216</v>
      </c>
      <c r="BJ195">
        <v>0</v>
      </c>
      <c r="BK195">
        <v>0</v>
      </c>
      <c r="BL195">
        <v>0</v>
      </c>
      <c r="BM195">
        <v>0</v>
      </c>
      <c r="BN195">
        <v>2547.1799999999998</v>
      </c>
      <c r="BO195">
        <v>407.55</v>
      </c>
      <c r="BP195">
        <v>101.89</v>
      </c>
      <c r="BQ195">
        <f t="shared" si="3"/>
        <v>2852.84</v>
      </c>
      <c r="BR195" t="s">
        <v>1101</v>
      </c>
    </row>
    <row r="196" spans="1:70">
      <c r="A196" t="s">
        <v>1103</v>
      </c>
      <c r="B196" t="s">
        <v>1104</v>
      </c>
      <c r="C196" t="s">
        <v>71</v>
      </c>
      <c r="D196" t="s">
        <v>289</v>
      </c>
      <c r="E196" t="s">
        <v>73</v>
      </c>
      <c r="F196" t="s">
        <v>74</v>
      </c>
      <c r="G196">
        <v>240765</v>
      </c>
      <c r="H196" t="s">
        <v>74</v>
      </c>
      <c r="I196" t="s">
        <v>75</v>
      </c>
      <c r="J196" t="s">
        <v>74</v>
      </c>
      <c r="K196" t="s">
        <v>1105</v>
      </c>
      <c r="L196" t="s">
        <v>77</v>
      </c>
      <c r="M196" t="s">
        <v>78</v>
      </c>
      <c r="N196" t="s">
        <v>337</v>
      </c>
      <c r="O196" t="s">
        <v>1106</v>
      </c>
      <c r="P196" t="s">
        <v>108</v>
      </c>
      <c r="X196">
        <v>10</v>
      </c>
      <c r="AF196" t="s">
        <v>372</v>
      </c>
      <c r="AG196" t="s">
        <v>296</v>
      </c>
      <c r="AH196" t="s">
        <v>372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1.5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461.9</v>
      </c>
      <c r="BE196">
        <v>0</v>
      </c>
      <c r="BF196">
        <v>400</v>
      </c>
      <c r="BG196">
        <v>0</v>
      </c>
      <c r="BH196">
        <v>0</v>
      </c>
      <c r="BI196">
        <v>80</v>
      </c>
      <c r="BJ196">
        <v>0</v>
      </c>
      <c r="BK196">
        <v>0</v>
      </c>
      <c r="BL196">
        <v>0</v>
      </c>
      <c r="BM196">
        <v>0</v>
      </c>
      <c r="BN196">
        <v>943.4</v>
      </c>
      <c r="BO196">
        <v>150.94</v>
      </c>
      <c r="BP196">
        <v>37.74</v>
      </c>
      <c r="BQ196">
        <f t="shared" si="3"/>
        <v>1056.5999999999999</v>
      </c>
      <c r="BR196" t="s">
        <v>337</v>
      </c>
    </row>
    <row r="197" spans="1:70">
      <c r="A197" t="s">
        <v>1107</v>
      </c>
      <c r="B197" t="s">
        <v>1108</v>
      </c>
      <c r="C197" t="s">
        <v>71</v>
      </c>
      <c r="D197" t="s">
        <v>289</v>
      </c>
      <c r="E197" t="s">
        <v>73</v>
      </c>
      <c r="F197" t="s">
        <v>74</v>
      </c>
      <c r="G197">
        <v>240763</v>
      </c>
      <c r="H197" t="s">
        <v>74</v>
      </c>
      <c r="I197" t="s">
        <v>75</v>
      </c>
      <c r="J197" t="s">
        <v>74</v>
      </c>
      <c r="K197" t="s">
        <v>1109</v>
      </c>
      <c r="L197" t="s">
        <v>77</v>
      </c>
      <c r="M197" t="s">
        <v>78</v>
      </c>
      <c r="N197" t="s">
        <v>1110</v>
      </c>
      <c r="O197" t="s">
        <v>1111</v>
      </c>
      <c r="P197" t="s">
        <v>108</v>
      </c>
      <c r="X197">
        <v>32</v>
      </c>
      <c r="AF197" t="s">
        <v>1112</v>
      </c>
      <c r="AG197" t="s">
        <v>296</v>
      </c>
      <c r="AH197" t="s">
        <v>1112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4.8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494.4</v>
      </c>
      <c r="BE197">
        <v>0</v>
      </c>
      <c r="BF197">
        <v>1280</v>
      </c>
      <c r="BG197">
        <v>0</v>
      </c>
      <c r="BH197">
        <v>0</v>
      </c>
      <c r="BI197">
        <v>256</v>
      </c>
      <c r="BJ197">
        <v>0</v>
      </c>
      <c r="BK197">
        <v>0</v>
      </c>
      <c r="BL197">
        <v>0</v>
      </c>
      <c r="BM197">
        <v>0</v>
      </c>
      <c r="BN197">
        <v>2035.2</v>
      </c>
      <c r="BO197">
        <v>325.63</v>
      </c>
      <c r="BP197">
        <v>81.41</v>
      </c>
      <c r="BQ197">
        <f t="shared" si="3"/>
        <v>2279.42</v>
      </c>
      <c r="BR197" t="s">
        <v>371</v>
      </c>
    </row>
    <row r="198" spans="1:70">
      <c r="A198" t="s">
        <v>1113</v>
      </c>
      <c r="B198" t="s">
        <v>1114</v>
      </c>
      <c r="C198" t="s">
        <v>71</v>
      </c>
      <c r="D198" t="s">
        <v>289</v>
      </c>
      <c r="E198" t="s">
        <v>73</v>
      </c>
      <c r="F198" t="s">
        <v>74</v>
      </c>
      <c r="G198">
        <v>240762</v>
      </c>
      <c r="H198" t="s">
        <v>74</v>
      </c>
      <c r="I198" t="s">
        <v>75</v>
      </c>
      <c r="J198" t="s">
        <v>74</v>
      </c>
      <c r="K198" t="s">
        <v>1115</v>
      </c>
      <c r="L198" t="s">
        <v>77</v>
      </c>
      <c r="M198" t="s">
        <v>78</v>
      </c>
      <c r="N198" t="s">
        <v>438</v>
      </c>
      <c r="O198" t="s">
        <v>1116</v>
      </c>
      <c r="P198" t="s">
        <v>108</v>
      </c>
      <c r="X198">
        <v>10</v>
      </c>
      <c r="AF198" t="s">
        <v>372</v>
      </c>
      <c r="AG198" t="s">
        <v>296</v>
      </c>
      <c r="AH198" t="s">
        <v>372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1.5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154.5</v>
      </c>
      <c r="BE198">
        <v>0</v>
      </c>
      <c r="BF198">
        <v>400</v>
      </c>
      <c r="BG198">
        <v>0</v>
      </c>
      <c r="BH198">
        <v>0</v>
      </c>
      <c r="BI198">
        <v>80</v>
      </c>
      <c r="BJ198">
        <v>0</v>
      </c>
      <c r="BK198">
        <v>0</v>
      </c>
      <c r="BL198">
        <v>0</v>
      </c>
      <c r="BM198">
        <v>0</v>
      </c>
      <c r="BN198">
        <v>636</v>
      </c>
      <c r="BO198">
        <v>101.76</v>
      </c>
      <c r="BP198">
        <v>25.44</v>
      </c>
      <c r="BQ198">
        <f t="shared" si="3"/>
        <v>712.31999999999994</v>
      </c>
      <c r="BR198" t="s">
        <v>440</v>
      </c>
    </row>
    <row r="199" spans="1:70">
      <c r="A199" t="s">
        <v>1117</v>
      </c>
      <c r="B199" t="s">
        <v>1118</v>
      </c>
      <c r="C199" t="s">
        <v>71</v>
      </c>
      <c r="D199" t="s">
        <v>289</v>
      </c>
      <c r="E199" t="s">
        <v>73</v>
      </c>
      <c r="F199" t="s">
        <v>74</v>
      </c>
      <c r="G199">
        <v>240761</v>
      </c>
      <c r="H199" t="s">
        <v>74</v>
      </c>
      <c r="I199" t="s">
        <v>75</v>
      </c>
      <c r="J199" t="s">
        <v>74</v>
      </c>
      <c r="K199" t="s">
        <v>1119</v>
      </c>
      <c r="L199" t="s">
        <v>77</v>
      </c>
      <c r="M199" t="s">
        <v>78</v>
      </c>
      <c r="N199" t="s">
        <v>191</v>
      </c>
      <c r="O199" t="s">
        <v>1120</v>
      </c>
      <c r="P199" t="s">
        <v>108</v>
      </c>
      <c r="X199">
        <v>15</v>
      </c>
      <c r="AF199" t="s">
        <v>235</v>
      </c>
      <c r="AG199" t="s">
        <v>296</v>
      </c>
      <c r="AH199" t="s">
        <v>235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2.25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692.85</v>
      </c>
      <c r="BE199">
        <v>0</v>
      </c>
      <c r="BF199">
        <v>600</v>
      </c>
      <c r="BG199">
        <v>0</v>
      </c>
      <c r="BH199">
        <v>0</v>
      </c>
      <c r="BI199">
        <v>120</v>
      </c>
      <c r="BJ199">
        <v>0</v>
      </c>
      <c r="BK199">
        <v>0</v>
      </c>
      <c r="BL199">
        <v>0</v>
      </c>
      <c r="BM199">
        <v>0</v>
      </c>
      <c r="BN199">
        <v>1415.1</v>
      </c>
      <c r="BO199">
        <v>226.42</v>
      </c>
      <c r="BP199">
        <v>56.6</v>
      </c>
      <c r="BQ199">
        <f t="shared" si="3"/>
        <v>1584.92</v>
      </c>
      <c r="BR199" t="s">
        <v>195</v>
      </c>
    </row>
    <row r="200" spans="1:70">
      <c r="A200" t="s">
        <v>1121</v>
      </c>
      <c r="B200" t="s">
        <v>1122</v>
      </c>
      <c r="C200" t="s">
        <v>71</v>
      </c>
      <c r="D200" t="s">
        <v>289</v>
      </c>
      <c r="E200" t="s">
        <v>73</v>
      </c>
      <c r="F200" t="s">
        <v>74</v>
      </c>
      <c r="G200">
        <v>240760</v>
      </c>
      <c r="H200" t="s">
        <v>74</v>
      </c>
      <c r="I200" t="s">
        <v>75</v>
      </c>
      <c r="J200" t="s">
        <v>74</v>
      </c>
      <c r="K200" t="s">
        <v>1123</v>
      </c>
      <c r="L200" t="s">
        <v>77</v>
      </c>
      <c r="M200" t="s">
        <v>78</v>
      </c>
      <c r="N200" t="s">
        <v>161</v>
      </c>
      <c r="O200" t="s">
        <v>1124</v>
      </c>
      <c r="P200" t="s">
        <v>108</v>
      </c>
      <c r="X200">
        <v>31</v>
      </c>
      <c r="AF200" t="s">
        <v>1059</v>
      </c>
      <c r="AG200" t="s">
        <v>296</v>
      </c>
      <c r="AH200" t="s">
        <v>1059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4.6500000000000004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478.95</v>
      </c>
      <c r="BE200">
        <v>0</v>
      </c>
      <c r="BF200">
        <v>1240</v>
      </c>
      <c r="BG200">
        <v>0</v>
      </c>
      <c r="BH200">
        <v>0</v>
      </c>
      <c r="BI200">
        <v>248</v>
      </c>
      <c r="BJ200">
        <v>0</v>
      </c>
      <c r="BK200">
        <v>0</v>
      </c>
      <c r="BL200">
        <v>0</v>
      </c>
      <c r="BM200">
        <v>0</v>
      </c>
      <c r="BN200">
        <v>1971.6</v>
      </c>
      <c r="BO200">
        <v>315.45</v>
      </c>
      <c r="BP200">
        <v>78.87</v>
      </c>
      <c r="BQ200">
        <f t="shared" si="3"/>
        <v>2208.1799999999998</v>
      </c>
      <c r="BR200" t="s">
        <v>83</v>
      </c>
    </row>
    <row r="201" spans="1:70">
      <c r="A201" t="s">
        <v>1125</v>
      </c>
      <c r="B201" t="s">
        <v>1126</v>
      </c>
      <c r="C201" t="s">
        <v>71</v>
      </c>
      <c r="D201" t="s">
        <v>289</v>
      </c>
      <c r="E201" t="s">
        <v>73</v>
      </c>
      <c r="F201" t="s">
        <v>74</v>
      </c>
      <c r="G201">
        <v>240758</v>
      </c>
      <c r="H201" t="s">
        <v>74</v>
      </c>
      <c r="I201" t="s">
        <v>75</v>
      </c>
      <c r="J201" t="s">
        <v>74</v>
      </c>
      <c r="K201" t="s">
        <v>1127</v>
      </c>
      <c r="L201" t="s">
        <v>77</v>
      </c>
      <c r="M201" t="s">
        <v>78</v>
      </c>
      <c r="N201" t="s">
        <v>172</v>
      </c>
      <c r="O201" t="s">
        <v>1128</v>
      </c>
      <c r="P201" t="s">
        <v>108</v>
      </c>
      <c r="X201">
        <v>14</v>
      </c>
      <c r="AF201" t="s">
        <v>413</v>
      </c>
      <c r="AG201" t="s">
        <v>296</v>
      </c>
      <c r="AH201" t="s">
        <v>413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2.1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646.66</v>
      </c>
      <c r="BE201">
        <v>0</v>
      </c>
      <c r="BF201">
        <v>560</v>
      </c>
      <c r="BG201">
        <v>0</v>
      </c>
      <c r="BH201">
        <v>0</v>
      </c>
      <c r="BI201">
        <v>112</v>
      </c>
      <c r="BJ201">
        <v>0</v>
      </c>
      <c r="BK201">
        <v>0</v>
      </c>
      <c r="BL201">
        <v>0</v>
      </c>
      <c r="BM201">
        <v>0</v>
      </c>
      <c r="BN201">
        <v>1320.76</v>
      </c>
      <c r="BO201">
        <v>211.33</v>
      </c>
      <c r="BP201">
        <v>52.83</v>
      </c>
      <c r="BQ201">
        <f t="shared" si="3"/>
        <v>1479.26</v>
      </c>
      <c r="BR201" t="s">
        <v>175</v>
      </c>
    </row>
    <row r="202" spans="1:70">
      <c r="A202" t="s">
        <v>1129</v>
      </c>
      <c r="B202" t="s">
        <v>1130</v>
      </c>
      <c r="C202" t="s">
        <v>71</v>
      </c>
      <c r="D202" t="s">
        <v>289</v>
      </c>
      <c r="E202" t="s">
        <v>73</v>
      </c>
      <c r="F202" t="s">
        <v>74</v>
      </c>
      <c r="G202">
        <v>240757</v>
      </c>
      <c r="H202" t="s">
        <v>74</v>
      </c>
      <c r="I202" t="s">
        <v>75</v>
      </c>
      <c r="J202" t="s">
        <v>74</v>
      </c>
      <c r="K202" t="s">
        <v>1131</v>
      </c>
      <c r="L202" t="s">
        <v>77</v>
      </c>
      <c r="M202" t="s">
        <v>78</v>
      </c>
      <c r="N202" t="s">
        <v>1132</v>
      </c>
      <c r="O202" t="s">
        <v>1133</v>
      </c>
      <c r="P202" t="s">
        <v>108</v>
      </c>
      <c r="X202">
        <v>11</v>
      </c>
      <c r="AF202" t="s">
        <v>470</v>
      </c>
      <c r="AG202" t="s">
        <v>296</v>
      </c>
      <c r="AH202" t="s">
        <v>470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1.65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508.09</v>
      </c>
      <c r="BE202">
        <v>0</v>
      </c>
      <c r="BF202">
        <v>440</v>
      </c>
      <c r="BG202">
        <v>0</v>
      </c>
      <c r="BH202">
        <v>0</v>
      </c>
      <c r="BI202">
        <v>88</v>
      </c>
      <c r="BJ202">
        <v>0</v>
      </c>
      <c r="BK202">
        <v>0</v>
      </c>
      <c r="BL202">
        <v>0</v>
      </c>
      <c r="BM202">
        <v>0</v>
      </c>
      <c r="BN202">
        <v>1037.74</v>
      </c>
      <c r="BO202">
        <v>166.03</v>
      </c>
      <c r="BP202">
        <v>41.51</v>
      </c>
      <c r="BQ202">
        <f t="shared" si="3"/>
        <v>1162.26</v>
      </c>
      <c r="BR202" t="s">
        <v>1134</v>
      </c>
    </row>
    <row r="203" spans="1:70">
      <c r="A203" t="s">
        <v>1135</v>
      </c>
      <c r="B203" t="s">
        <v>1136</v>
      </c>
      <c r="C203" t="s">
        <v>71</v>
      </c>
      <c r="D203" t="s">
        <v>289</v>
      </c>
      <c r="E203" t="s">
        <v>73</v>
      </c>
      <c r="F203" t="s">
        <v>74</v>
      </c>
      <c r="G203">
        <v>240756</v>
      </c>
      <c r="H203" t="s">
        <v>74</v>
      </c>
      <c r="I203" t="s">
        <v>75</v>
      </c>
      <c r="J203" t="s">
        <v>74</v>
      </c>
      <c r="K203" t="s">
        <v>1137</v>
      </c>
      <c r="L203" t="s">
        <v>77</v>
      </c>
      <c r="M203" t="s">
        <v>78</v>
      </c>
      <c r="N203" t="s">
        <v>358</v>
      </c>
      <c r="O203" t="s">
        <v>1138</v>
      </c>
      <c r="P203" t="s">
        <v>108</v>
      </c>
      <c r="X203">
        <v>14</v>
      </c>
      <c r="AF203" t="s">
        <v>413</v>
      </c>
      <c r="AG203" t="s">
        <v>296</v>
      </c>
      <c r="AH203" t="s">
        <v>413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2.1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646.66</v>
      </c>
      <c r="BE203">
        <v>0</v>
      </c>
      <c r="BF203">
        <v>560</v>
      </c>
      <c r="BG203">
        <v>0</v>
      </c>
      <c r="BH203">
        <v>0</v>
      </c>
      <c r="BI203">
        <v>112</v>
      </c>
      <c r="BJ203">
        <v>0</v>
      </c>
      <c r="BK203">
        <v>0</v>
      </c>
      <c r="BL203">
        <v>0</v>
      </c>
      <c r="BM203">
        <v>0</v>
      </c>
      <c r="BN203">
        <v>1320.76</v>
      </c>
      <c r="BO203">
        <v>211.33</v>
      </c>
      <c r="BP203">
        <v>52.83</v>
      </c>
      <c r="BQ203">
        <f t="shared" si="3"/>
        <v>1479.26</v>
      </c>
      <c r="BR203" t="s">
        <v>358</v>
      </c>
    </row>
    <row r="204" spans="1:70">
      <c r="A204" t="s">
        <v>1139</v>
      </c>
      <c r="B204" t="s">
        <v>1140</v>
      </c>
      <c r="C204" t="s">
        <v>71</v>
      </c>
      <c r="D204" t="s">
        <v>289</v>
      </c>
      <c r="E204" t="s">
        <v>73</v>
      </c>
      <c r="F204" t="s">
        <v>74</v>
      </c>
      <c r="G204">
        <v>240753</v>
      </c>
      <c r="H204" t="s">
        <v>74</v>
      </c>
      <c r="I204" t="s">
        <v>75</v>
      </c>
      <c r="J204" t="s">
        <v>74</v>
      </c>
      <c r="K204" t="s">
        <v>1141</v>
      </c>
      <c r="L204" t="s">
        <v>77</v>
      </c>
      <c r="M204" t="s">
        <v>78</v>
      </c>
      <c r="N204" t="s">
        <v>137</v>
      </c>
      <c r="O204" t="s">
        <v>1142</v>
      </c>
      <c r="P204" t="s">
        <v>108</v>
      </c>
      <c r="X204">
        <v>15</v>
      </c>
      <c r="AF204" t="s">
        <v>235</v>
      </c>
      <c r="AG204" t="s">
        <v>296</v>
      </c>
      <c r="AH204" t="s">
        <v>235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2.25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692.85</v>
      </c>
      <c r="BE204">
        <v>0</v>
      </c>
      <c r="BF204">
        <v>600</v>
      </c>
      <c r="BG204">
        <v>0</v>
      </c>
      <c r="BH204">
        <v>0</v>
      </c>
      <c r="BI204">
        <v>120</v>
      </c>
      <c r="BJ204">
        <v>0</v>
      </c>
      <c r="BK204">
        <v>0</v>
      </c>
      <c r="BL204">
        <v>0</v>
      </c>
      <c r="BM204">
        <v>0</v>
      </c>
      <c r="BN204">
        <v>1415.1</v>
      </c>
      <c r="BO204">
        <v>226.42</v>
      </c>
      <c r="BP204">
        <v>56.6</v>
      </c>
      <c r="BQ204">
        <f t="shared" si="3"/>
        <v>1584.92</v>
      </c>
      <c r="BR204" t="s">
        <v>141</v>
      </c>
    </row>
    <row r="205" spans="1:70">
      <c r="A205" t="s">
        <v>1143</v>
      </c>
      <c r="B205" t="s">
        <v>1144</v>
      </c>
      <c r="C205" t="s">
        <v>71</v>
      </c>
      <c r="D205" t="s">
        <v>289</v>
      </c>
      <c r="E205" t="s">
        <v>73</v>
      </c>
      <c r="F205" t="s">
        <v>74</v>
      </c>
      <c r="G205">
        <v>240752</v>
      </c>
      <c r="H205" t="s">
        <v>74</v>
      </c>
      <c r="I205" t="s">
        <v>75</v>
      </c>
      <c r="J205" t="s">
        <v>74</v>
      </c>
      <c r="K205" t="s">
        <v>1145</v>
      </c>
      <c r="L205" t="s">
        <v>77</v>
      </c>
      <c r="M205" t="s">
        <v>78</v>
      </c>
      <c r="N205" t="s">
        <v>1146</v>
      </c>
      <c r="O205" t="s">
        <v>1147</v>
      </c>
      <c r="P205" t="s">
        <v>108</v>
      </c>
      <c r="X205">
        <v>20</v>
      </c>
      <c r="AF205" t="s">
        <v>384</v>
      </c>
      <c r="AG205" t="s">
        <v>296</v>
      </c>
      <c r="AH205" t="s">
        <v>384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3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309</v>
      </c>
      <c r="BE205">
        <v>0</v>
      </c>
      <c r="BF205">
        <v>800</v>
      </c>
      <c r="BG205">
        <v>0</v>
      </c>
      <c r="BH205">
        <v>0</v>
      </c>
      <c r="BI205">
        <v>160</v>
      </c>
      <c r="BJ205">
        <v>0</v>
      </c>
      <c r="BK205">
        <v>0</v>
      </c>
      <c r="BL205">
        <v>0</v>
      </c>
      <c r="BM205">
        <v>0</v>
      </c>
      <c r="BN205">
        <v>1272</v>
      </c>
      <c r="BO205">
        <v>203.52</v>
      </c>
      <c r="BP205">
        <v>50.88</v>
      </c>
      <c r="BQ205">
        <f t="shared" si="3"/>
        <v>1424.6399999999999</v>
      </c>
      <c r="BR205" t="s">
        <v>83</v>
      </c>
    </row>
    <row r="206" spans="1:70">
      <c r="A206" t="s">
        <v>1148</v>
      </c>
      <c r="B206" t="s">
        <v>1149</v>
      </c>
      <c r="C206" t="s">
        <v>71</v>
      </c>
      <c r="D206" t="s">
        <v>289</v>
      </c>
      <c r="E206" t="s">
        <v>73</v>
      </c>
      <c r="F206" t="s">
        <v>74</v>
      </c>
      <c r="G206">
        <v>240747</v>
      </c>
      <c r="H206" t="s">
        <v>74</v>
      </c>
      <c r="I206" t="s">
        <v>75</v>
      </c>
      <c r="J206" t="s">
        <v>74</v>
      </c>
      <c r="K206" t="s">
        <v>1150</v>
      </c>
      <c r="L206" t="s">
        <v>77</v>
      </c>
      <c r="M206" t="s">
        <v>78</v>
      </c>
      <c r="N206" t="s">
        <v>432</v>
      </c>
      <c r="O206" t="s">
        <v>1151</v>
      </c>
      <c r="P206" t="s">
        <v>108</v>
      </c>
      <c r="X206">
        <v>6</v>
      </c>
      <c r="AF206" t="s">
        <v>400</v>
      </c>
      <c r="AG206" t="s">
        <v>296</v>
      </c>
      <c r="AH206" t="s">
        <v>400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0.9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277.14</v>
      </c>
      <c r="BE206">
        <v>0</v>
      </c>
      <c r="BF206">
        <v>240</v>
      </c>
      <c r="BG206">
        <v>0</v>
      </c>
      <c r="BH206">
        <v>0</v>
      </c>
      <c r="BI206">
        <v>48</v>
      </c>
      <c r="BJ206">
        <v>0</v>
      </c>
      <c r="BK206">
        <v>0</v>
      </c>
      <c r="BL206">
        <v>0</v>
      </c>
      <c r="BM206">
        <v>0</v>
      </c>
      <c r="BN206">
        <v>566.04</v>
      </c>
      <c r="BO206">
        <v>90.56</v>
      </c>
      <c r="BP206">
        <v>22.65</v>
      </c>
      <c r="BQ206">
        <f t="shared" si="3"/>
        <v>633.94999999999993</v>
      </c>
      <c r="BR206" t="s">
        <v>432</v>
      </c>
    </row>
    <row r="207" spans="1:70">
      <c r="A207" t="s">
        <v>1152</v>
      </c>
      <c r="B207" t="s">
        <v>1153</v>
      </c>
      <c r="C207" t="s">
        <v>71</v>
      </c>
      <c r="D207" t="s">
        <v>289</v>
      </c>
      <c r="E207" t="s">
        <v>73</v>
      </c>
      <c r="F207" t="s">
        <v>74</v>
      </c>
      <c r="G207">
        <v>240744</v>
      </c>
      <c r="H207" t="s">
        <v>74</v>
      </c>
      <c r="I207" t="s">
        <v>75</v>
      </c>
      <c r="J207" t="s">
        <v>74</v>
      </c>
      <c r="K207" t="s">
        <v>1154</v>
      </c>
      <c r="L207" t="s">
        <v>77</v>
      </c>
      <c r="M207" t="s">
        <v>78</v>
      </c>
      <c r="N207" t="s">
        <v>404</v>
      </c>
      <c r="O207" t="s">
        <v>1155</v>
      </c>
      <c r="P207" t="s">
        <v>108</v>
      </c>
      <c r="X207">
        <v>6</v>
      </c>
      <c r="AF207" t="s">
        <v>400</v>
      </c>
      <c r="AG207" t="s">
        <v>296</v>
      </c>
      <c r="AH207" t="s">
        <v>400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0.9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92.7</v>
      </c>
      <c r="BE207">
        <v>0</v>
      </c>
      <c r="BF207">
        <v>240</v>
      </c>
      <c r="BG207">
        <v>0</v>
      </c>
      <c r="BH207">
        <v>0</v>
      </c>
      <c r="BI207">
        <v>48</v>
      </c>
      <c r="BJ207">
        <v>0</v>
      </c>
      <c r="BK207">
        <v>0</v>
      </c>
      <c r="BL207">
        <v>0</v>
      </c>
      <c r="BM207">
        <v>0</v>
      </c>
      <c r="BN207">
        <v>381.6</v>
      </c>
      <c r="BO207">
        <v>61.05</v>
      </c>
      <c r="BP207">
        <v>15.27</v>
      </c>
      <c r="BQ207">
        <f t="shared" si="3"/>
        <v>427.38000000000005</v>
      </c>
      <c r="BR207" t="s">
        <v>406</v>
      </c>
    </row>
    <row r="208" spans="1:70">
      <c r="A208" t="s">
        <v>1156</v>
      </c>
      <c r="B208" t="s">
        <v>1157</v>
      </c>
      <c r="C208" t="s">
        <v>71</v>
      </c>
      <c r="D208" t="s">
        <v>289</v>
      </c>
      <c r="E208" t="s">
        <v>73</v>
      </c>
      <c r="F208" t="s">
        <v>74</v>
      </c>
      <c r="G208">
        <v>240743</v>
      </c>
      <c r="H208" t="s">
        <v>74</v>
      </c>
      <c r="I208" t="s">
        <v>75</v>
      </c>
      <c r="J208" t="s">
        <v>74</v>
      </c>
      <c r="K208" t="s">
        <v>1158</v>
      </c>
      <c r="L208" t="s">
        <v>77</v>
      </c>
      <c r="M208" t="s">
        <v>78</v>
      </c>
      <c r="N208" t="s">
        <v>337</v>
      </c>
      <c r="O208" t="s">
        <v>1159</v>
      </c>
      <c r="P208" t="s">
        <v>108</v>
      </c>
      <c r="X208">
        <v>18</v>
      </c>
      <c r="AF208" t="s">
        <v>395</v>
      </c>
      <c r="AG208" t="s">
        <v>296</v>
      </c>
      <c r="AH208" t="s">
        <v>395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2.7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831.42</v>
      </c>
      <c r="BE208">
        <v>0</v>
      </c>
      <c r="BF208">
        <v>720</v>
      </c>
      <c r="BG208">
        <v>0</v>
      </c>
      <c r="BH208">
        <v>0</v>
      </c>
      <c r="BI208">
        <v>144</v>
      </c>
      <c r="BJ208">
        <v>0</v>
      </c>
      <c r="BK208">
        <v>0</v>
      </c>
      <c r="BL208">
        <v>0</v>
      </c>
      <c r="BM208">
        <v>0</v>
      </c>
      <c r="BN208">
        <v>1698.12</v>
      </c>
      <c r="BO208">
        <v>271.7</v>
      </c>
      <c r="BP208">
        <v>67.930000000000007</v>
      </c>
      <c r="BQ208">
        <f t="shared" si="3"/>
        <v>1901.8899999999999</v>
      </c>
      <c r="BR208" t="s">
        <v>337</v>
      </c>
    </row>
    <row r="209" spans="1:70">
      <c r="A209" t="s">
        <v>1160</v>
      </c>
      <c r="B209" t="s">
        <v>1161</v>
      </c>
      <c r="C209" t="s">
        <v>71</v>
      </c>
      <c r="D209" t="s">
        <v>289</v>
      </c>
      <c r="E209" t="s">
        <v>73</v>
      </c>
      <c r="F209" t="s">
        <v>74</v>
      </c>
      <c r="G209">
        <v>240742</v>
      </c>
      <c r="H209" t="s">
        <v>74</v>
      </c>
      <c r="I209" t="s">
        <v>75</v>
      </c>
      <c r="J209" t="s">
        <v>74</v>
      </c>
      <c r="K209" t="s">
        <v>1162</v>
      </c>
      <c r="L209" t="s">
        <v>77</v>
      </c>
      <c r="M209" t="s">
        <v>78</v>
      </c>
      <c r="N209" t="s">
        <v>649</v>
      </c>
      <c r="O209" t="s">
        <v>1163</v>
      </c>
      <c r="P209" t="s">
        <v>108</v>
      </c>
      <c r="X209">
        <v>10</v>
      </c>
      <c r="AF209" t="s">
        <v>372</v>
      </c>
      <c r="AG209" t="s">
        <v>296</v>
      </c>
      <c r="AH209" t="s">
        <v>372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1.5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154.5</v>
      </c>
      <c r="BE209">
        <v>0</v>
      </c>
      <c r="BF209">
        <v>400</v>
      </c>
      <c r="BG209">
        <v>0</v>
      </c>
      <c r="BH209">
        <v>0</v>
      </c>
      <c r="BI209">
        <v>80</v>
      </c>
      <c r="BJ209">
        <v>0</v>
      </c>
      <c r="BK209">
        <v>0</v>
      </c>
      <c r="BL209">
        <v>0</v>
      </c>
      <c r="BM209">
        <v>0</v>
      </c>
      <c r="BN209">
        <v>636</v>
      </c>
      <c r="BO209">
        <v>101.76</v>
      </c>
      <c r="BP209">
        <v>25.44</v>
      </c>
      <c r="BQ209">
        <f t="shared" si="3"/>
        <v>712.31999999999994</v>
      </c>
      <c r="BR209" t="s">
        <v>649</v>
      </c>
    </row>
    <row r="210" spans="1:70">
      <c r="A210" t="s">
        <v>1164</v>
      </c>
      <c r="B210" t="s">
        <v>1165</v>
      </c>
      <c r="C210" t="s">
        <v>71</v>
      </c>
      <c r="D210" t="s">
        <v>289</v>
      </c>
      <c r="E210" t="s">
        <v>73</v>
      </c>
      <c r="F210" t="s">
        <v>74</v>
      </c>
      <c r="G210">
        <v>240740</v>
      </c>
      <c r="H210" t="s">
        <v>74</v>
      </c>
      <c r="I210" t="s">
        <v>75</v>
      </c>
      <c r="J210" t="s">
        <v>74</v>
      </c>
      <c r="K210" t="s">
        <v>1166</v>
      </c>
      <c r="L210" t="s">
        <v>77</v>
      </c>
      <c r="M210" t="s">
        <v>78</v>
      </c>
      <c r="N210" t="s">
        <v>1167</v>
      </c>
      <c r="O210" t="s">
        <v>1168</v>
      </c>
      <c r="P210" t="s">
        <v>108</v>
      </c>
      <c r="X210">
        <v>15</v>
      </c>
      <c r="AF210" t="s">
        <v>235</v>
      </c>
      <c r="AG210" t="s">
        <v>296</v>
      </c>
      <c r="AH210" t="s">
        <v>235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2.25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692.85</v>
      </c>
      <c r="BE210">
        <v>0</v>
      </c>
      <c r="BF210">
        <v>600</v>
      </c>
      <c r="BG210">
        <v>0</v>
      </c>
      <c r="BH210">
        <v>0</v>
      </c>
      <c r="BI210">
        <v>120</v>
      </c>
      <c r="BJ210">
        <v>0</v>
      </c>
      <c r="BK210">
        <v>0</v>
      </c>
      <c r="BL210">
        <v>0</v>
      </c>
      <c r="BM210">
        <v>0</v>
      </c>
      <c r="BN210">
        <v>1415.1</v>
      </c>
      <c r="BO210">
        <v>226.42</v>
      </c>
      <c r="BP210">
        <v>56.6</v>
      </c>
      <c r="BQ210">
        <f t="shared" si="3"/>
        <v>1584.92</v>
      </c>
      <c r="BR210" t="s">
        <v>1167</v>
      </c>
    </row>
    <row r="211" spans="1:70">
      <c r="A211" t="s">
        <v>1169</v>
      </c>
      <c r="B211" t="s">
        <v>1170</v>
      </c>
      <c r="C211" t="s">
        <v>71</v>
      </c>
      <c r="D211" t="s">
        <v>289</v>
      </c>
      <c r="E211" t="s">
        <v>73</v>
      </c>
      <c r="F211" t="s">
        <v>74</v>
      </c>
      <c r="G211">
        <v>240739</v>
      </c>
      <c r="H211" t="s">
        <v>74</v>
      </c>
      <c r="I211" t="s">
        <v>75</v>
      </c>
      <c r="J211" t="s">
        <v>74</v>
      </c>
      <c r="K211" t="s">
        <v>1171</v>
      </c>
      <c r="L211" t="s">
        <v>77</v>
      </c>
      <c r="M211" t="s">
        <v>78</v>
      </c>
      <c r="N211" t="s">
        <v>406</v>
      </c>
      <c r="O211" t="s">
        <v>1172</v>
      </c>
      <c r="P211" t="s">
        <v>108</v>
      </c>
      <c r="X211">
        <v>15</v>
      </c>
      <c r="AF211" t="s">
        <v>235</v>
      </c>
      <c r="AG211" t="s">
        <v>296</v>
      </c>
      <c r="AH211" t="s">
        <v>235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2.25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231.75</v>
      </c>
      <c r="BE211">
        <v>0</v>
      </c>
      <c r="BF211">
        <v>600</v>
      </c>
      <c r="BG211">
        <v>0</v>
      </c>
      <c r="BH211">
        <v>0</v>
      </c>
      <c r="BI211">
        <v>120</v>
      </c>
      <c r="BJ211">
        <v>0</v>
      </c>
      <c r="BK211">
        <v>0</v>
      </c>
      <c r="BL211">
        <v>0</v>
      </c>
      <c r="BM211">
        <v>0</v>
      </c>
      <c r="BN211">
        <v>954</v>
      </c>
      <c r="BO211">
        <v>152.63999999999999</v>
      </c>
      <c r="BP211">
        <v>38.159999999999997</v>
      </c>
      <c r="BQ211">
        <f t="shared" si="3"/>
        <v>1068.4799999999998</v>
      </c>
      <c r="BR211" t="s">
        <v>406</v>
      </c>
    </row>
    <row r="212" spans="1:70">
      <c r="A212" t="s">
        <v>1173</v>
      </c>
      <c r="B212" t="s">
        <v>1174</v>
      </c>
      <c r="C212" t="s">
        <v>71</v>
      </c>
      <c r="D212" t="s">
        <v>289</v>
      </c>
      <c r="E212" t="s">
        <v>73</v>
      </c>
      <c r="F212" t="s">
        <v>74</v>
      </c>
      <c r="G212">
        <v>240737</v>
      </c>
      <c r="H212" t="s">
        <v>74</v>
      </c>
      <c r="I212" t="s">
        <v>75</v>
      </c>
      <c r="J212" t="s">
        <v>74</v>
      </c>
      <c r="K212" t="s">
        <v>1175</v>
      </c>
      <c r="L212" t="s">
        <v>77</v>
      </c>
      <c r="M212" t="s">
        <v>78</v>
      </c>
      <c r="N212" t="s">
        <v>832</v>
      </c>
      <c r="O212" t="s">
        <v>1176</v>
      </c>
      <c r="P212" t="s">
        <v>108</v>
      </c>
      <c r="X212">
        <v>24</v>
      </c>
      <c r="AF212" t="s">
        <v>1177</v>
      </c>
      <c r="AG212" t="s">
        <v>296</v>
      </c>
      <c r="AH212" t="s">
        <v>1177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3.6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370.8</v>
      </c>
      <c r="BE212">
        <v>0</v>
      </c>
      <c r="BF212">
        <v>960</v>
      </c>
      <c r="BG212">
        <v>0</v>
      </c>
      <c r="BH212">
        <v>0</v>
      </c>
      <c r="BI212">
        <v>192</v>
      </c>
      <c r="BJ212">
        <v>0</v>
      </c>
      <c r="BK212">
        <v>0</v>
      </c>
      <c r="BL212">
        <v>0</v>
      </c>
      <c r="BM212">
        <v>0</v>
      </c>
      <c r="BN212">
        <v>1526.4</v>
      </c>
      <c r="BO212">
        <v>244.23</v>
      </c>
      <c r="BP212">
        <v>61.05</v>
      </c>
      <c r="BQ212">
        <f t="shared" si="3"/>
        <v>1709.5800000000002</v>
      </c>
      <c r="BR212" t="s">
        <v>832</v>
      </c>
    </row>
    <row r="213" spans="1:70">
      <c r="A213" t="s">
        <v>1178</v>
      </c>
      <c r="B213" t="s">
        <v>1179</v>
      </c>
      <c r="C213" t="s">
        <v>71</v>
      </c>
      <c r="D213" t="s">
        <v>289</v>
      </c>
      <c r="E213" t="s">
        <v>73</v>
      </c>
      <c r="F213" t="s">
        <v>74</v>
      </c>
      <c r="G213">
        <v>240736</v>
      </c>
      <c r="H213" t="s">
        <v>74</v>
      </c>
      <c r="I213" t="s">
        <v>75</v>
      </c>
      <c r="J213" t="s">
        <v>74</v>
      </c>
      <c r="K213" t="s">
        <v>1180</v>
      </c>
      <c r="L213" t="s">
        <v>77</v>
      </c>
      <c r="M213" t="s">
        <v>78</v>
      </c>
      <c r="N213" t="s">
        <v>137</v>
      </c>
      <c r="O213" t="s">
        <v>182</v>
      </c>
      <c r="P213" t="s">
        <v>108</v>
      </c>
      <c r="X213">
        <v>11</v>
      </c>
      <c r="AF213" t="s">
        <v>470</v>
      </c>
      <c r="AG213" t="s">
        <v>296</v>
      </c>
      <c r="AH213" t="s">
        <v>470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1.65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508.09</v>
      </c>
      <c r="BE213">
        <v>0</v>
      </c>
      <c r="BF213">
        <v>440</v>
      </c>
      <c r="BG213">
        <v>0</v>
      </c>
      <c r="BH213">
        <v>0</v>
      </c>
      <c r="BI213">
        <v>88</v>
      </c>
      <c r="BJ213">
        <v>0</v>
      </c>
      <c r="BK213">
        <v>0</v>
      </c>
      <c r="BL213">
        <v>0</v>
      </c>
      <c r="BM213">
        <v>0</v>
      </c>
      <c r="BN213">
        <v>1037.74</v>
      </c>
      <c r="BO213">
        <v>166.03</v>
      </c>
      <c r="BP213">
        <v>41.51</v>
      </c>
      <c r="BQ213">
        <f t="shared" si="3"/>
        <v>1162.26</v>
      </c>
      <c r="BR213" t="s">
        <v>141</v>
      </c>
    </row>
    <row r="214" spans="1:70">
      <c r="A214" t="s">
        <v>1181</v>
      </c>
      <c r="B214" t="s">
        <v>1182</v>
      </c>
      <c r="C214" t="s">
        <v>71</v>
      </c>
      <c r="D214" t="s">
        <v>289</v>
      </c>
      <c r="E214" t="s">
        <v>73</v>
      </c>
      <c r="F214" t="s">
        <v>1183</v>
      </c>
      <c r="G214" t="s">
        <v>1184</v>
      </c>
      <c r="H214" t="s">
        <v>74</v>
      </c>
      <c r="I214" t="s">
        <v>75</v>
      </c>
      <c r="J214" t="s">
        <v>74</v>
      </c>
      <c r="K214" t="s">
        <v>1185</v>
      </c>
      <c r="L214" t="s">
        <v>77</v>
      </c>
      <c r="M214" t="s">
        <v>78</v>
      </c>
      <c r="N214" t="s">
        <v>421</v>
      </c>
      <c r="O214" t="s">
        <v>1186</v>
      </c>
      <c r="P214" t="s">
        <v>108</v>
      </c>
      <c r="X214">
        <v>14</v>
      </c>
      <c r="AF214" t="s">
        <v>413</v>
      </c>
      <c r="AG214" t="s">
        <v>296</v>
      </c>
      <c r="AH214" t="s">
        <v>413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2.1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646.66</v>
      </c>
      <c r="BE214">
        <v>0</v>
      </c>
      <c r="BF214">
        <v>560</v>
      </c>
      <c r="BG214">
        <v>0</v>
      </c>
      <c r="BH214">
        <v>0</v>
      </c>
      <c r="BI214">
        <v>112</v>
      </c>
      <c r="BJ214">
        <v>0</v>
      </c>
      <c r="BK214">
        <v>0</v>
      </c>
      <c r="BL214">
        <v>0</v>
      </c>
      <c r="BM214">
        <v>0</v>
      </c>
      <c r="BN214">
        <v>1320.76</v>
      </c>
      <c r="BO214">
        <v>211.33</v>
      </c>
      <c r="BP214">
        <v>52.83</v>
      </c>
      <c r="BQ214">
        <f t="shared" si="3"/>
        <v>1479.26</v>
      </c>
      <c r="BR214" t="s">
        <v>423</v>
      </c>
    </row>
    <row r="215" spans="1:70">
      <c r="A215" t="s">
        <v>1187</v>
      </c>
      <c r="B215" t="s">
        <v>1188</v>
      </c>
      <c r="C215" t="s">
        <v>71</v>
      </c>
      <c r="D215" t="s">
        <v>289</v>
      </c>
      <c r="E215" t="s">
        <v>73</v>
      </c>
      <c r="F215" t="s">
        <v>74</v>
      </c>
      <c r="G215" t="s">
        <v>74</v>
      </c>
      <c r="H215" t="s">
        <v>74</v>
      </c>
      <c r="I215" t="s">
        <v>75</v>
      </c>
      <c r="J215" t="s">
        <v>74</v>
      </c>
      <c r="K215" t="s">
        <v>1189</v>
      </c>
      <c r="L215" t="s">
        <v>77</v>
      </c>
      <c r="M215" t="s">
        <v>78</v>
      </c>
      <c r="N215" t="s">
        <v>950</v>
      </c>
      <c r="O215" t="s">
        <v>1190</v>
      </c>
      <c r="P215" t="s">
        <v>108</v>
      </c>
      <c r="X215">
        <v>10</v>
      </c>
      <c r="AF215" t="s">
        <v>372</v>
      </c>
      <c r="AG215" t="s">
        <v>296</v>
      </c>
      <c r="AH215" t="s">
        <v>372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1.5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154.5</v>
      </c>
      <c r="BE215">
        <v>0</v>
      </c>
      <c r="BF215">
        <v>400</v>
      </c>
      <c r="BG215">
        <v>0</v>
      </c>
      <c r="BH215">
        <v>0</v>
      </c>
      <c r="BI215">
        <v>80</v>
      </c>
      <c r="BJ215">
        <v>0</v>
      </c>
      <c r="BK215">
        <v>0</v>
      </c>
      <c r="BL215">
        <v>0</v>
      </c>
      <c r="BM215">
        <v>0</v>
      </c>
      <c r="BN215">
        <v>636</v>
      </c>
      <c r="BO215">
        <v>101.76</v>
      </c>
      <c r="BP215">
        <v>25.44</v>
      </c>
      <c r="BQ215">
        <f t="shared" si="3"/>
        <v>712.31999999999994</v>
      </c>
      <c r="BR215" t="s">
        <v>950</v>
      </c>
    </row>
    <row r="216" spans="1:70">
      <c r="A216" t="s">
        <v>1191</v>
      </c>
      <c r="B216" t="s">
        <v>1192</v>
      </c>
      <c r="C216" t="s">
        <v>71</v>
      </c>
      <c r="D216" t="s">
        <v>289</v>
      </c>
      <c r="E216" t="s">
        <v>73</v>
      </c>
      <c r="F216" t="s">
        <v>74</v>
      </c>
      <c r="G216">
        <v>240732</v>
      </c>
      <c r="H216" t="s">
        <v>74</v>
      </c>
      <c r="I216" t="s">
        <v>75</v>
      </c>
      <c r="J216" t="s">
        <v>74</v>
      </c>
      <c r="K216" t="s">
        <v>1193</v>
      </c>
      <c r="L216" t="s">
        <v>77</v>
      </c>
      <c r="M216" t="s">
        <v>78</v>
      </c>
      <c r="N216" t="s">
        <v>349</v>
      </c>
      <c r="O216" t="s">
        <v>1194</v>
      </c>
      <c r="P216" t="s">
        <v>108</v>
      </c>
      <c r="X216">
        <v>14</v>
      </c>
      <c r="AF216" t="s">
        <v>413</v>
      </c>
      <c r="AG216" t="s">
        <v>296</v>
      </c>
      <c r="AH216" t="s">
        <v>413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2.1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646.66</v>
      </c>
      <c r="BE216">
        <v>0</v>
      </c>
      <c r="BF216">
        <v>560</v>
      </c>
      <c r="BG216">
        <v>0</v>
      </c>
      <c r="BH216">
        <v>0</v>
      </c>
      <c r="BI216">
        <v>112</v>
      </c>
      <c r="BJ216">
        <v>0</v>
      </c>
      <c r="BK216">
        <v>0</v>
      </c>
      <c r="BL216">
        <v>0</v>
      </c>
      <c r="BM216">
        <v>0</v>
      </c>
      <c r="BN216">
        <v>1320.76</v>
      </c>
      <c r="BO216">
        <v>211.33</v>
      </c>
      <c r="BP216">
        <v>52.83</v>
      </c>
      <c r="BQ216">
        <f t="shared" si="3"/>
        <v>1479.26</v>
      </c>
      <c r="BR216" t="s">
        <v>349</v>
      </c>
    </row>
    <row r="217" spans="1:70">
      <c r="A217" t="s">
        <v>1195</v>
      </c>
      <c r="B217" t="s">
        <v>1196</v>
      </c>
      <c r="C217" t="s">
        <v>71</v>
      </c>
      <c r="D217" t="s">
        <v>289</v>
      </c>
      <c r="E217" t="s">
        <v>73</v>
      </c>
      <c r="F217" t="s">
        <v>74</v>
      </c>
      <c r="G217">
        <v>240731</v>
      </c>
      <c r="H217" t="s">
        <v>74</v>
      </c>
      <c r="I217" t="s">
        <v>75</v>
      </c>
      <c r="J217" t="s">
        <v>74</v>
      </c>
      <c r="K217" t="s">
        <v>1197</v>
      </c>
      <c r="L217" t="s">
        <v>77</v>
      </c>
      <c r="M217" t="s">
        <v>78</v>
      </c>
      <c r="N217" t="s">
        <v>161</v>
      </c>
      <c r="O217" t="s">
        <v>1198</v>
      </c>
      <c r="P217" t="s">
        <v>108</v>
      </c>
      <c r="X217">
        <v>13</v>
      </c>
      <c r="AF217" t="s">
        <v>434</v>
      </c>
      <c r="AG217" t="s">
        <v>296</v>
      </c>
      <c r="AH217" t="s">
        <v>434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1.95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200.85</v>
      </c>
      <c r="BE217">
        <v>0</v>
      </c>
      <c r="BF217">
        <v>520</v>
      </c>
      <c r="BG217">
        <v>0</v>
      </c>
      <c r="BH217">
        <v>0</v>
      </c>
      <c r="BI217">
        <v>104</v>
      </c>
      <c r="BJ217">
        <v>0</v>
      </c>
      <c r="BK217">
        <v>0</v>
      </c>
      <c r="BL217">
        <v>0</v>
      </c>
      <c r="BM217">
        <v>0</v>
      </c>
      <c r="BN217">
        <v>826.8</v>
      </c>
      <c r="BO217">
        <v>132.29</v>
      </c>
      <c r="BP217">
        <v>33.07</v>
      </c>
      <c r="BQ217">
        <f t="shared" si="3"/>
        <v>926.01999999999987</v>
      </c>
      <c r="BR217" t="s">
        <v>83</v>
      </c>
    </row>
    <row r="218" spans="1:70">
      <c r="A218" t="s">
        <v>1199</v>
      </c>
      <c r="B218" t="s">
        <v>1200</v>
      </c>
      <c r="C218" t="s">
        <v>71</v>
      </c>
      <c r="D218" t="s">
        <v>289</v>
      </c>
      <c r="E218" t="s">
        <v>73</v>
      </c>
      <c r="F218" t="s">
        <v>74</v>
      </c>
      <c r="G218">
        <v>240727</v>
      </c>
      <c r="H218" t="s">
        <v>74</v>
      </c>
      <c r="I218" t="s">
        <v>75</v>
      </c>
      <c r="J218" t="s">
        <v>74</v>
      </c>
      <c r="K218" t="s">
        <v>1201</v>
      </c>
      <c r="L218" t="s">
        <v>77</v>
      </c>
      <c r="M218" t="s">
        <v>78</v>
      </c>
      <c r="N218" t="s">
        <v>343</v>
      </c>
      <c r="O218" t="s">
        <v>1202</v>
      </c>
      <c r="P218" t="s">
        <v>108</v>
      </c>
      <c r="AB218">
        <v>3</v>
      </c>
      <c r="AF218" t="s">
        <v>314</v>
      </c>
      <c r="AG218" t="s">
        <v>296</v>
      </c>
      <c r="AH218" t="s">
        <v>314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0.45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279.54000000000002</v>
      </c>
      <c r="BE218">
        <v>0</v>
      </c>
      <c r="BF218">
        <v>120</v>
      </c>
      <c r="BG218">
        <v>0</v>
      </c>
      <c r="BH218">
        <v>0</v>
      </c>
      <c r="BI218">
        <v>24</v>
      </c>
      <c r="BJ218">
        <v>0</v>
      </c>
      <c r="BK218">
        <v>0</v>
      </c>
      <c r="BL218">
        <v>0</v>
      </c>
      <c r="BM218">
        <v>0</v>
      </c>
      <c r="BN218">
        <v>423.99</v>
      </c>
      <c r="BO218">
        <v>67.84</v>
      </c>
      <c r="BP218">
        <v>16.96</v>
      </c>
      <c r="BQ218">
        <f t="shared" si="3"/>
        <v>474.87000000000006</v>
      </c>
      <c r="BR218" t="s">
        <v>343</v>
      </c>
    </row>
    <row r="219" spans="1:70">
      <c r="A219" t="s">
        <v>1203</v>
      </c>
      <c r="B219" t="s">
        <v>1204</v>
      </c>
      <c r="C219" t="s">
        <v>71</v>
      </c>
      <c r="D219" t="s">
        <v>289</v>
      </c>
      <c r="E219" t="s">
        <v>73</v>
      </c>
      <c r="F219" t="s">
        <v>74</v>
      </c>
      <c r="G219">
        <v>240726</v>
      </c>
      <c r="H219" t="s">
        <v>74</v>
      </c>
      <c r="I219" t="s">
        <v>75</v>
      </c>
      <c r="J219" t="s">
        <v>74</v>
      </c>
      <c r="K219" t="s">
        <v>1205</v>
      </c>
      <c r="L219" t="s">
        <v>77</v>
      </c>
      <c r="M219" t="s">
        <v>78</v>
      </c>
      <c r="N219" t="s">
        <v>343</v>
      </c>
      <c r="O219" t="s">
        <v>1202</v>
      </c>
      <c r="P219" t="s">
        <v>108</v>
      </c>
      <c r="X219">
        <v>12</v>
      </c>
      <c r="AF219" t="s">
        <v>379</v>
      </c>
      <c r="AG219" t="s">
        <v>296</v>
      </c>
      <c r="AH219" t="s">
        <v>379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1.8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185.4</v>
      </c>
      <c r="BE219">
        <v>0</v>
      </c>
      <c r="BF219">
        <v>480</v>
      </c>
      <c r="BG219">
        <v>0</v>
      </c>
      <c r="BH219">
        <v>0</v>
      </c>
      <c r="BI219">
        <v>96</v>
      </c>
      <c r="BJ219">
        <v>0</v>
      </c>
      <c r="BK219">
        <v>0</v>
      </c>
      <c r="BL219">
        <v>0</v>
      </c>
      <c r="BM219">
        <v>0</v>
      </c>
      <c r="BN219">
        <v>763.2</v>
      </c>
      <c r="BO219">
        <v>122.11</v>
      </c>
      <c r="BP219">
        <v>30.53</v>
      </c>
      <c r="BQ219">
        <f t="shared" si="3"/>
        <v>854.78000000000009</v>
      </c>
      <c r="BR219" t="s">
        <v>343</v>
      </c>
    </row>
    <row r="220" spans="1:70">
      <c r="A220" t="s">
        <v>1206</v>
      </c>
      <c r="B220" t="s">
        <v>1207</v>
      </c>
      <c r="C220" t="s">
        <v>71</v>
      </c>
      <c r="D220" t="s">
        <v>289</v>
      </c>
      <c r="E220" t="s">
        <v>73</v>
      </c>
      <c r="F220" t="s">
        <v>74</v>
      </c>
      <c r="G220">
        <v>240725</v>
      </c>
      <c r="H220" t="s">
        <v>74</v>
      </c>
      <c r="I220" t="s">
        <v>75</v>
      </c>
      <c r="J220" t="s">
        <v>74</v>
      </c>
      <c r="K220" t="s">
        <v>1208</v>
      </c>
      <c r="L220" t="s">
        <v>77</v>
      </c>
      <c r="M220" t="s">
        <v>78</v>
      </c>
      <c r="N220" t="s">
        <v>343</v>
      </c>
      <c r="O220" t="s">
        <v>1209</v>
      </c>
      <c r="P220" t="s">
        <v>108</v>
      </c>
      <c r="X220">
        <v>23</v>
      </c>
      <c r="AF220" t="s">
        <v>428</v>
      </c>
      <c r="AG220" t="s">
        <v>296</v>
      </c>
      <c r="AH220" t="s">
        <v>428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3.45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355.35</v>
      </c>
      <c r="BE220">
        <v>0</v>
      </c>
      <c r="BF220">
        <v>920</v>
      </c>
      <c r="BG220">
        <v>0</v>
      </c>
      <c r="BH220">
        <v>0</v>
      </c>
      <c r="BI220">
        <v>184</v>
      </c>
      <c r="BJ220">
        <v>0</v>
      </c>
      <c r="BK220">
        <v>0</v>
      </c>
      <c r="BL220">
        <v>0</v>
      </c>
      <c r="BM220">
        <v>0</v>
      </c>
      <c r="BN220">
        <v>1462.8</v>
      </c>
      <c r="BO220">
        <v>234.05</v>
      </c>
      <c r="BP220">
        <v>58.51</v>
      </c>
      <c r="BQ220">
        <f t="shared" si="3"/>
        <v>1638.34</v>
      </c>
      <c r="BR220" t="s">
        <v>343</v>
      </c>
    </row>
    <row r="221" spans="1:70">
      <c r="A221" t="s">
        <v>1210</v>
      </c>
      <c r="B221" t="s">
        <v>1211</v>
      </c>
      <c r="C221" t="s">
        <v>71</v>
      </c>
      <c r="D221" t="s">
        <v>289</v>
      </c>
      <c r="E221" t="s">
        <v>73</v>
      </c>
      <c r="F221" t="s">
        <v>74</v>
      </c>
      <c r="G221">
        <v>240723</v>
      </c>
      <c r="H221" t="s">
        <v>74</v>
      </c>
      <c r="I221" t="s">
        <v>75</v>
      </c>
      <c r="J221" t="s">
        <v>74</v>
      </c>
      <c r="K221" t="s">
        <v>1212</v>
      </c>
      <c r="L221" t="s">
        <v>77</v>
      </c>
      <c r="M221" t="s">
        <v>78</v>
      </c>
      <c r="N221" t="s">
        <v>674</v>
      </c>
      <c r="O221" t="s">
        <v>1213</v>
      </c>
      <c r="P221" t="s">
        <v>108</v>
      </c>
      <c r="X221">
        <v>7</v>
      </c>
      <c r="AF221" t="s">
        <v>345</v>
      </c>
      <c r="AG221" t="s">
        <v>296</v>
      </c>
      <c r="AH221" t="s">
        <v>345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1.05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108.15</v>
      </c>
      <c r="BE221">
        <v>0</v>
      </c>
      <c r="BF221">
        <v>280</v>
      </c>
      <c r="BG221">
        <v>0</v>
      </c>
      <c r="BH221">
        <v>0</v>
      </c>
      <c r="BI221">
        <v>56</v>
      </c>
      <c r="BJ221">
        <v>0</v>
      </c>
      <c r="BK221">
        <v>0</v>
      </c>
      <c r="BL221">
        <v>0</v>
      </c>
      <c r="BM221">
        <v>0</v>
      </c>
      <c r="BN221">
        <v>445.2</v>
      </c>
      <c r="BO221">
        <v>71.23</v>
      </c>
      <c r="BP221">
        <v>17.809999999999999</v>
      </c>
      <c r="BQ221">
        <f t="shared" si="3"/>
        <v>498.61999999999995</v>
      </c>
      <c r="BR221" t="s">
        <v>674</v>
      </c>
    </row>
    <row r="222" spans="1:70">
      <c r="A222" t="s">
        <v>1214</v>
      </c>
      <c r="B222" t="s">
        <v>1215</v>
      </c>
      <c r="C222" t="s">
        <v>71</v>
      </c>
      <c r="D222" t="s">
        <v>289</v>
      </c>
      <c r="E222" t="s">
        <v>73</v>
      </c>
      <c r="F222" t="s">
        <v>74</v>
      </c>
      <c r="G222">
        <v>240722</v>
      </c>
      <c r="H222" t="s">
        <v>74</v>
      </c>
      <c r="I222" t="s">
        <v>75</v>
      </c>
      <c r="J222" t="s">
        <v>74</v>
      </c>
      <c r="K222" t="s">
        <v>1216</v>
      </c>
      <c r="L222" t="s">
        <v>77</v>
      </c>
      <c r="M222" t="s">
        <v>78</v>
      </c>
      <c r="N222" t="s">
        <v>964</v>
      </c>
      <c r="O222" t="s">
        <v>1050</v>
      </c>
      <c r="P222" t="s">
        <v>108</v>
      </c>
      <c r="X222">
        <v>22</v>
      </c>
      <c r="AF222" t="s">
        <v>445</v>
      </c>
      <c r="AG222" t="s">
        <v>296</v>
      </c>
      <c r="AH222" t="s">
        <v>445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3.3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1016.18</v>
      </c>
      <c r="BE222">
        <v>0</v>
      </c>
      <c r="BF222">
        <v>880</v>
      </c>
      <c r="BG222">
        <v>0</v>
      </c>
      <c r="BH222">
        <v>0</v>
      </c>
      <c r="BI222">
        <v>176</v>
      </c>
      <c r="BJ222">
        <v>0</v>
      </c>
      <c r="BK222">
        <v>0</v>
      </c>
      <c r="BL222">
        <v>0</v>
      </c>
      <c r="BM222">
        <v>0</v>
      </c>
      <c r="BN222">
        <v>2075.48</v>
      </c>
      <c r="BO222">
        <v>332.08</v>
      </c>
      <c r="BP222">
        <v>83.02</v>
      </c>
      <c r="BQ222">
        <f t="shared" si="3"/>
        <v>2324.54</v>
      </c>
      <c r="BR222" t="s">
        <v>964</v>
      </c>
    </row>
    <row r="223" spans="1:70">
      <c r="A223" t="s">
        <v>1217</v>
      </c>
      <c r="B223" t="s">
        <v>1218</v>
      </c>
      <c r="C223" t="s">
        <v>71</v>
      </c>
      <c r="D223" t="s">
        <v>289</v>
      </c>
      <c r="E223" t="s">
        <v>73</v>
      </c>
      <c r="F223" t="s">
        <v>74</v>
      </c>
      <c r="G223">
        <v>240720</v>
      </c>
      <c r="H223" t="s">
        <v>74</v>
      </c>
      <c r="I223" t="s">
        <v>75</v>
      </c>
      <c r="J223" t="s">
        <v>74</v>
      </c>
      <c r="K223" t="s">
        <v>1219</v>
      </c>
      <c r="L223" t="s">
        <v>77</v>
      </c>
      <c r="M223" t="s">
        <v>78</v>
      </c>
      <c r="N223" t="s">
        <v>137</v>
      </c>
      <c r="O223" t="s">
        <v>1220</v>
      </c>
      <c r="P223" t="s">
        <v>108</v>
      </c>
      <c r="X223">
        <v>10</v>
      </c>
      <c r="AF223" t="s">
        <v>372</v>
      </c>
      <c r="AG223" t="s">
        <v>296</v>
      </c>
      <c r="AH223" t="s">
        <v>372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1.5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461.9</v>
      </c>
      <c r="BE223">
        <v>0</v>
      </c>
      <c r="BF223">
        <v>400</v>
      </c>
      <c r="BG223">
        <v>0</v>
      </c>
      <c r="BH223">
        <v>0</v>
      </c>
      <c r="BI223">
        <v>80</v>
      </c>
      <c r="BJ223">
        <v>0</v>
      </c>
      <c r="BK223">
        <v>0</v>
      </c>
      <c r="BL223">
        <v>0</v>
      </c>
      <c r="BM223">
        <v>0</v>
      </c>
      <c r="BN223">
        <v>943.4</v>
      </c>
      <c r="BO223">
        <v>150.94</v>
      </c>
      <c r="BP223">
        <v>37.74</v>
      </c>
      <c r="BQ223">
        <f t="shared" si="3"/>
        <v>1056.5999999999999</v>
      </c>
      <c r="BR223" t="s">
        <v>141</v>
      </c>
    </row>
    <row r="224" spans="1:70">
      <c r="A224" t="s">
        <v>1221</v>
      </c>
      <c r="B224" t="s">
        <v>1222</v>
      </c>
      <c r="C224" t="s">
        <v>71</v>
      </c>
      <c r="D224" t="s">
        <v>289</v>
      </c>
      <c r="E224" t="s">
        <v>73</v>
      </c>
      <c r="F224" t="s">
        <v>74</v>
      </c>
      <c r="G224">
        <v>240716</v>
      </c>
      <c r="H224" t="s">
        <v>74</v>
      </c>
      <c r="I224" t="s">
        <v>75</v>
      </c>
      <c r="J224" t="s">
        <v>74</v>
      </c>
      <c r="K224" t="s">
        <v>1223</v>
      </c>
      <c r="L224" t="s">
        <v>77</v>
      </c>
      <c r="M224" t="s">
        <v>78</v>
      </c>
      <c r="N224" t="s">
        <v>964</v>
      </c>
      <c r="O224" t="s">
        <v>1224</v>
      </c>
      <c r="P224" t="s">
        <v>108</v>
      </c>
      <c r="X224">
        <v>26</v>
      </c>
      <c r="AF224" t="s">
        <v>920</v>
      </c>
      <c r="AG224" t="s">
        <v>296</v>
      </c>
      <c r="AH224" t="s">
        <v>920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3.9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1200.94</v>
      </c>
      <c r="BE224">
        <v>0</v>
      </c>
      <c r="BF224">
        <v>1040</v>
      </c>
      <c r="BG224">
        <v>0</v>
      </c>
      <c r="BH224">
        <v>0</v>
      </c>
      <c r="BI224">
        <v>208</v>
      </c>
      <c r="BJ224">
        <v>0</v>
      </c>
      <c r="BK224">
        <v>0</v>
      </c>
      <c r="BL224">
        <v>0</v>
      </c>
      <c r="BM224">
        <v>0</v>
      </c>
      <c r="BN224">
        <v>2452.84</v>
      </c>
      <c r="BO224">
        <v>392.45</v>
      </c>
      <c r="BP224">
        <v>98.12</v>
      </c>
      <c r="BQ224">
        <f t="shared" si="3"/>
        <v>2747.17</v>
      </c>
      <c r="BR224" t="s">
        <v>964</v>
      </c>
    </row>
    <row r="225" spans="1:70">
      <c r="A225" t="s">
        <v>1225</v>
      </c>
      <c r="B225" t="s">
        <v>1226</v>
      </c>
      <c r="C225" t="s">
        <v>71</v>
      </c>
      <c r="D225" t="s">
        <v>289</v>
      </c>
      <c r="E225" t="s">
        <v>73</v>
      </c>
      <c r="F225" t="s">
        <v>74</v>
      </c>
      <c r="G225">
        <v>240741</v>
      </c>
      <c r="H225" t="s">
        <v>74</v>
      </c>
      <c r="I225" t="s">
        <v>75</v>
      </c>
      <c r="J225" t="s">
        <v>74</v>
      </c>
      <c r="K225" t="s">
        <v>1227</v>
      </c>
      <c r="L225" t="s">
        <v>77</v>
      </c>
      <c r="M225" t="s">
        <v>78</v>
      </c>
      <c r="N225" t="s">
        <v>330</v>
      </c>
      <c r="O225" t="s">
        <v>1228</v>
      </c>
      <c r="P225" t="s">
        <v>1229</v>
      </c>
      <c r="X225">
        <v>22</v>
      </c>
      <c r="AF225" t="s">
        <v>445</v>
      </c>
      <c r="AG225" t="s">
        <v>296</v>
      </c>
      <c r="AH225" t="s">
        <v>445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3.3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1016.18</v>
      </c>
      <c r="BE225">
        <v>0</v>
      </c>
      <c r="BF225">
        <v>880</v>
      </c>
      <c r="BG225">
        <v>0</v>
      </c>
      <c r="BH225">
        <v>0</v>
      </c>
      <c r="BI225">
        <v>176</v>
      </c>
      <c r="BJ225">
        <v>0</v>
      </c>
      <c r="BK225">
        <v>0</v>
      </c>
      <c r="BL225">
        <v>0</v>
      </c>
      <c r="BM225">
        <v>0</v>
      </c>
      <c r="BN225">
        <v>2075.48</v>
      </c>
      <c r="BO225">
        <v>332.08</v>
      </c>
      <c r="BP225">
        <v>83.02</v>
      </c>
      <c r="BQ225">
        <f t="shared" si="3"/>
        <v>2324.54</v>
      </c>
      <c r="BR225" t="s">
        <v>332</v>
      </c>
    </row>
    <row r="226" spans="1:70">
      <c r="A226" t="s">
        <v>1230</v>
      </c>
      <c r="B226" t="s">
        <v>1231</v>
      </c>
      <c r="C226" t="s">
        <v>71</v>
      </c>
      <c r="D226" t="s">
        <v>289</v>
      </c>
      <c r="E226" t="s">
        <v>73</v>
      </c>
      <c r="F226" t="s">
        <v>74</v>
      </c>
      <c r="G226" t="s">
        <v>1232</v>
      </c>
      <c r="H226" t="s">
        <v>74</v>
      </c>
      <c r="I226" t="s">
        <v>75</v>
      </c>
      <c r="J226" t="s">
        <v>74</v>
      </c>
      <c r="K226" t="s">
        <v>1233</v>
      </c>
      <c r="L226" t="s">
        <v>77</v>
      </c>
      <c r="M226" t="s">
        <v>78</v>
      </c>
      <c r="N226" t="s">
        <v>191</v>
      </c>
      <c r="O226" t="s">
        <v>511</v>
      </c>
      <c r="P226" t="s">
        <v>1229</v>
      </c>
      <c r="T226">
        <v>4</v>
      </c>
      <c r="AF226" t="s">
        <v>326</v>
      </c>
      <c r="AG226" t="s">
        <v>296</v>
      </c>
      <c r="AH226" t="s">
        <v>1234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145.84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12839.92</v>
      </c>
      <c r="BE226">
        <v>0</v>
      </c>
      <c r="BF226">
        <v>1832.32</v>
      </c>
      <c r="BG226">
        <v>0</v>
      </c>
      <c r="BH226">
        <v>0</v>
      </c>
      <c r="BI226">
        <v>1686.48</v>
      </c>
      <c r="BJ226">
        <v>0</v>
      </c>
      <c r="BK226">
        <v>0</v>
      </c>
      <c r="BL226">
        <v>0</v>
      </c>
      <c r="BM226">
        <v>0</v>
      </c>
      <c r="BN226">
        <v>16504.560000000001</v>
      </c>
      <c r="BO226">
        <v>2640.73</v>
      </c>
      <c r="BP226">
        <v>660.18</v>
      </c>
      <c r="BQ226">
        <f t="shared" si="3"/>
        <v>18485.11</v>
      </c>
      <c r="BR226" t="s">
        <v>195</v>
      </c>
    </row>
    <row r="227" spans="1:70">
      <c r="A227" t="s">
        <v>1235</v>
      </c>
      <c r="B227" t="s">
        <v>1236</v>
      </c>
      <c r="C227" t="s">
        <v>71</v>
      </c>
      <c r="D227" t="s">
        <v>289</v>
      </c>
      <c r="E227" t="s">
        <v>73</v>
      </c>
      <c r="F227" t="s">
        <v>74</v>
      </c>
      <c r="G227">
        <v>240851</v>
      </c>
      <c r="H227" t="s">
        <v>74</v>
      </c>
      <c r="I227" t="s">
        <v>75</v>
      </c>
      <c r="J227" t="s">
        <v>74</v>
      </c>
      <c r="K227" t="s">
        <v>1237</v>
      </c>
      <c r="L227" t="s">
        <v>77</v>
      </c>
      <c r="M227" t="s">
        <v>78</v>
      </c>
      <c r="N227" t="s">
        <v>653</v>
      </c>
      <c r="O227" t="s">
        <v>654</v>
      </c>
      <c r="P227" t="s">
        <v>1229</v>
      </c>
      <c r="X227">
        <v>28</v>
      </c>
      <c r="AF227" t="s">
        <v>1238</v>
      </c>
      <c r="AG227" t="s">
        <v>296</v>
      </c>
      <c r="AH227" t="s">
        <v>1238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4.2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432.6</v>
      </c>
      <c r="BE227">
        <v>0</v>
      </c>
      <c r="BF227">
        <v>1120</v>
      </c>
      <c r="BG227">
        <v>0</v>
      </c>
      <c r="BH227">
        <v>0</v>
      </c>
      <c r="BI227">
        <v>224</v>
      </c>
      <c r="BJ227">
        <v>0</v>
      </c>
      <c r="BK227">
        <v>0</v>
      </c>
      <c r="BL227">
        <v>0</v>
      </c>
      <c r="BM227">
        <v>0</v>
      </c>
      <c r="BN227">
        <v>1780.8</v>
      </c>
      <c r="BO227">
        <v>284.93</v>
      </c>
      <c r="BP227">
        <v>71.23</v>
      </c>
      <c r="BQ227">
        <f t="shared" si="3"/>
        <v>1994.5</v>
      </c>
      <c r="BR227" t="s">
        <v>119</v>
      </c>
    </row>
    <row r="228" spans="1:70">
      <c r="A228" t="s">
        <v>1239</v>
      </c>
      <c r="B228" t="s">
        <v>1240</v>
      </c>
      <c r="C228" t="s">
        <v>71</v>
      </c>
      <c r="D228" t="s">
        <v>289</v>
      </c>
      <c r="E228" t="s">
        <v>73</v>
      </c>
      <c r="F228" t="s">
        <v>74</v>
      </c>
      <c r="G228">
        <v>240849</v>
      </c>
      <c r="H228" t="s">
        <v>74</v>
      </c>
      <c r="I228" t="s">
        <v>75</v>
      </c>
      <c r="J228" t="s">
        <v>74</v>
      </c>
      <c r="K228" t="s">
        <v>1241</v>
      </c>
      <c r="L228" t="s">
        <v>77</v>
      </c>
      <c r="M228" t="s">
        <v>78</v>
      </c>
      <c r="N228" t="s">
        <v>282</v>
      </c>
      <c r="O228" t="s">
        <v>1242</v>
      </c>
      <c r="P228" t="s">
        <v>1229</v>
      </c>
      <c r="X228">
        <v>7</v>
      </c>
      <c r="AF228" t="s">
        <v>345</v>
      </c>
      <c r="AG228" t="s">
        <v>296</v>
      </c>
      <c r="AH228" t="s">
        <v>345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1.05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323.33</v>
      </c>
      <c r="BE228">
        <v>0</v>
      </c>
      <c r="BF228">
        <v>280</v>
      </c>
      <c r="BG228">
        <v>0</v>
      </c>
      <c r="BH228">
        <v>0</v>
      </c>
      <c r="BI228">
        <v>56</v>
      </c>
      <c r="BJ228">
        <v>0</v>
      </c>
      <c r="BK228">
        <v>0</v>
      </c>
      <c r="BL228">
        <v>0</v>
      </c>
      <c r="BM228">
        <v>0</v>
      </c>
      <c r="BN228">
        <v>660.38</v>
      </c>
      <c r="BO228">
        <v>105.66</v>
      </c>
      <c r="BP228">
        <v>26.41</v>
      </c>
      <c r="BQ228">
        <f t="shared" si="3"/>
        <v>739.63</v>
      </c>
      <c r="BR228" t="s">
        <v>286</v>
      </c>
    </row>
    <row r="229" spans="1:70">
      <c r="A229" t="s">
        <v>1243</v>
      </c>
      <c r="B229" t="s">
        <v>1244</v>
      </c>
      <c r="C229" t="s">
        <v>71</v>
      </c>
      <c r="D229" t="s">
        <v>289</v>
      </c>
      <c r="E229" t="s">
        <v>73</v>
      </c>
      <c r="F229" t="s">
        <v>74</v>
      </c>
      <c r="G229">
        <v>240845</v>
      </c>
      <c r="H229" t="s">
        <v>74</v>
      </c>
      <c r="I229" t="s">
        <v>75</v>
      </c>
      <c r="J229" t="s">
        <v>74</v>
      </c>
      <c r="K229" t="s">
        <v>1245</v>
      </c>
      <c r="L229" t="s">
        <v>77</v>
      </c>
      <c r="M229" t="s">
        <v>78</v>
      </c>
      <c r="N229" t="s">
        <v>1246</v>
      </c>
      <c r="O229" t="s">
        <v>1247</v>
      </c>
      <c r="P229" t="s">
        <v>1229</v>
      </c>
      <c r="X229">
        <v>5</v>
      </c>
      <c r="AF229" t="s">
        <v>333</v>
      </c>
      <c r="AG229" t="s">
        <v>296</v>
      </c>
      <c r="AH229" t="s">
        <v>333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0.75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77.25</v>
      </c>
      <c r="BE229">
        <v>0</v>
      </c>
      <c r="BF229">
        <v>200</v>
      </c>
      <c r="BG229">
        <v>0</v>
      </c>
      <c r="BH229">
        <v>0</v>
      </c>
      <c r="BI229">
        <v>40</v>
      </c>
      <c r="BJ229">
        <v>0</v>
      </c>
      <c r="BK229">
        <v>0</v>
      </c>
      <c r="BL229">
        <v>0</v>
      </c>
      <c r="BM229">
        <v>0</v>
      </c>
      <c r="BN229">
        <v>318</v>
      </c>
      <c r="BO229">
        <v>50.88</v>
      </c>
      <c r="BP229">
        <v>12.72</v>
      </c>
      <c r="BQ229">
        <f t="shared" si="3"/>
        <v>356.15999999999997</v>
      </c>
      <c r="BR229" t="s">
        <v>1248</v>
      </c>
    </row>
    <row r="230" spans="1:70">
      <c r="A230" t="s">
        <v>1249</v>
      </c>
      <c r="B230" t="s">
        <v>1250</v>
      </c>
      <c r="C230" t="s">
        <v>71</v>
      </c>
      <c r="D230" t="s">
        <v>289</v>
      </c>
      <c r="E230" t="s">
        <v>73</v>
      </c>
      <c r="F230" t="s">
        <v>74</v>
      </c>
      <c r="G230">
        <v>240840</v>
      </c>
      <c r="H230" t="s">
        <v>74</v>
      </c>
      <c r="I230" t="s">
        <v>75</v>
      </c>
      <c r="J230" t="s">
        <v>74</v>
      </c>
      <c r="K230" t="s">
        <v>1251</v>
      </c>
      <c r="L230" t="s">
        <v>77</v>
      </c>
      <c r="M230" t="s">
        <v>78</v>
      </c>
      <c r="N230" t="s">
        <v>161</v>
      </c>
      <c r="O230" t="s">
        <v>162</v>
      </c>
      <c r="P230" t="s">
        <v>1229</v>
      </c>
      <c r="X230">
        <v>10</v>
      </c>
      <c r="AF230" t="s">
        <v>372</v>
      </c>
      <c r="AG230" t="s">
        <v>296</v>
      </c>
      <c r="AH230" t="s">
        <v>372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1.5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154.5</v>
      </c>
      <c r="BE230">
        <v>0</v>
      </c>
      <c r="BF230">
        <v>400</v>
      </c>
      <c r="BG230">
        <v>0</v>
      </c>
      <c r="BH230">
        <v>0</v>
      </c>
      <c r="BI230">
        <v>80</v>
      </c>
      <c r="BJ230">
        <v>0</v>
      </c>
      <c r="BK230">
        <v>0</v>
      </c>
      <c r="BL230">
        <v>0</v>
      </c>
      <c r="BM230">
        <v>0</v>
      </c>
      <c r="BN230">
        <v>636</v>
      </c>
      <c r="BO230">
        <v>101.76</v>
      </c>
      <c r="BP230">
        <v>25.44</v>
      </c>
      <c r="BQ230">
        <f t="shared" si="3"/>
        <v>712.31999999999994</v>
      </c>
      <c r="BR230" t="s">
        <v>83</v>
      </c>
    </row>
    <row r="231" spans="1:70">
      <c r="A231" t="s">
        <v>1252</v>
      </c>
      <c r="B231" t="s">
        <v>1253</v>
      </c>
      <c r="C231" t="s">
        <v>71</v>
      </c>
      <c r="D231" t="s">
        <v>289</v>
      </c>
      <c r="E231" t="s">
        <v>73</v>
      </c>
      <c r="F231" t="s">
        <v>74</v>
      </c>
      <c r="G231">
        <v>240839</v>
      </c>
      <c r="H231" t="s">
        <v>74</v>
      </c>
      <c r="I231" t="s">
        <v>75</v>
      </c>
      <c r="J231" t="s">
        <v>74</v>
      </c>
      <c r="K231" t="s">
        <v>1254</v>
      </c>
      <c r="L231" t="s">
        <v>77</v>
      </c>
      <c r="M231" t="s">
        <v>78</v>
      </c>
      <c r="N231" t="s">
        <v>343</v>
      </c>
      <c r="O231" t="s">
        <v>1030</v>
      </c>
      <c r="P231" t="s">
        <v>1229</v>
      </c>
      <c r="V231">
        <v>1</v>
      </c>
      <c r="AF231" t="s">
        <v>295</v>
      </c>
      <c r="AG231" t="s">
        <v>296</v>
      </c>
      <c r="AH231" t="s">
        <v>295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0.15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375.85</v>
      </c>
      <c r="BE231">
        <v>0</v>
      </c>
      <c r="BF231">
        <v>40</v>
      </c>
      <c r="BG231">
        <v>0</v>
      </c>
      <c r="BH231">
        <v>0</v>
      </c>
      <c r="BI231">
        <v>8</v>
      </c>
      <c r="BJ231">
        <v>0</v>
      </c>
      <c r="BK231">
        <v>0</v>
      </c>
      <c r="BL231">
        <v>0</v>
      </c>
      <c r="BM231">
        <v>0</v>
      </c>
      <c r="BN231">
        <v>424</v>
      </c>
      <c r="BO231">
        <v>67.84</v>
      </c>
      <c r="BP231">
        <v>16.96</v>
      </c>
      <c r="BQ231">
        <f t="shared" si="3"/>
        <v>474.88000000000005</v>
      </c>
      <c r="BR231" t="s">
        <v>343</v>
      </c>
    </row>
    <row r="232" spans="1:70">
      <c r="A232" t="s">
        <v>1255</v>
      </c>
      <c r="B232" t="s">
        <v>1256</v>
      </c>
      <c r="C232" t="s">
        <v>71</v>
      </c>
      <c r="D232" t="s">
        <v>289</v>
      </c>
      <c r="E232" t="s">
        <v>73</v>
      </c>
      <c r="F232" t="s">
        <v>74</v>
      </c>
      <c r="G232" t="s">
        <v>1257</v>
      </c>
      <c r="H232" t="s">
        <v>74</v>
      </c>
      <c r="I232" t="s">
        <v>75</v>
      </c>
      <c r="J232" t="s">
        <v>74</v>
      </c>
      <c r="K232" t="s">
        <v>1258</v>
      </c>
      <c r="L232" t="s">
        <v>77</v>
      </c>
      <c r="M232" t="s">
        <v>78</v>
      </c>
      <c r="N232" t="s">
        <v>614</v>
      </c>
      <c r="O232" t="s">
        <v>1259</v>
      </c>
      <c r="P232" t="s">
        <v>1229</v>
      </c>
      <c r="X232">
        <v>17</v>
      </c>
      <c r="AF232" t="s">
        <v>464</v>
      </c>
      <c r="AG232" t="s">
        <v>296</v>
      </c>
      <c r="AH232" t="s">
        <v>464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2.5499999999999998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785.23</v>
      </c>
      <c r="BE232">
        <v>0</v>
      </c>
      <c r="BF232">
        <v>680</v>
      </c>
      <c r="BG232">
        <v>0</v>
      </c>
      <c r="BH232">
        <v>0</v>
      </c>
      <c r="BI232">
        <v>136</v>
      </c>
      <c r="BJ232">
        <v>0</v>
      </c>
      <c r="BK232">
        <v>0</v>
      </c>
      <c r="BL232">
        <v>0</v>
      </c>
      <c r="BM232">
        <v>0</v>
      </c>
      <c r="BN232">
        <v>1603.78</v>
      </c>
      <c r="BO232">
        <v>256.61</v>
      </c>
      <c r="BP232">
        <v>64.150000000000006</v>
      </c>
      <c r="BQ232">
        <f t="shared" si="3"/>
        <v>1796.2399999999998</v>
      </c>
      <c r="BR232" t="s">
        <v>616</v>
      </c>
    </row>
    <row r="233" spans="1:70">
      <c r="A233" t="s">
        <v>1260</v>
      </c>
      <c r="B233" t="s">
        <v>1261</v>
      </c>
      <c r="C233" t="s">
        <v>71</v>
      </c>
      <c r="D233" t="s">
        <v>289</v>
      </c>
      <c r="E233" t="s">
        <v>73</v>
      </c>
      <c r="F233" t="s">
        <v>74</v>
      </c>
      <c r="G233">
        <v>240833</v>
      </c>
      <c r="H233" t="s">
        <v>74</v>
      </c>
      <c r="I233" t="s">
        <v>75</v>
      </c>
      <c r="J233" t="s">
        <v>74</v>
      </c>
      <c r="K233" t="s">
        <v>1262</v>
      </c>
      <c r="L233" t="s">
        <v>77</v>
      </c>
      <c r="M233" t="s">
        <v>78</v>
      </c>
      <c r="N233" t="s">
        <v>406</v>
      </c>
      <c r="O233" t="s">
        <v>1263</v>
      </c>
      <c r="P233" t="s">
        <v>1229</v>
      </c>
      <c r="X233">
        <v>7</v>
      </c>
      <c r="AF233" t="s">
        <v>345</v>
      </c>
      <c r="AG233" t="s">
        <v>296</v>
      </c>
      <c r="AH233" t="s">
        <v>345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1.05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108.15</v>
      </c>
      <c r="BE233">
        <v>0</v>
      </c>
      <c r="BF233">
        <v>280</v>
      </c>
      <c r="BG233">
        <v>0</v>
      </c>
      <c r="BH233">
        <v>0</v>
      </c>
      <c r="BI233">
        <v>56</v>
      </c>
      <c r="BJ233">
        <v>0</v>
      </c>
      <c r="BK233">
        <v>0</v>
      </c>
      <c r="BL233">
        <v>0</v>
      </c>
      <c r="BM233">
        <v>0</v>
      </c>
      <c r="BN233">
        <v>445.2</v>
      </c>
      <c r="BO233">
        <v>71.23</v>
      </c>
      <c r="BP233">
        <v>17.809999999999999</v>
      </c>
      <c r="BQ233">
        <f t="shared" si="3"/>
        <v>498.61999999999995</v>
      </c>
      <c r="BR233" t="s">
        <v>406</v>
      </c>
    </row>
    <row r="234" spans="1:70">
      <c r="A234" t="s">
        <v>1264</v>
      </c>
      <c r="B234" t="s">
        <v>1265</v>
      </c>
      <c r="C234" t="s">
        <v>71</v>
      </c>
      <c r="D234" t="s">
        <v>289</v>
      </c>
      <c r="E234" t="s">
        <v>73</v>
      </c>
      <c r="F234" t="s">
        <v>74</v>
      </c>
      <c r="G234">
        <v>240830</v>
      </c>
      <c r="H234" t="s">
        <v>74</v>
      </c>
      <c r="I234" t="s">
        <v>75</v>
      </c>
      <c r="J234" t="s">
        <v>74</v>
      </c>
      <c r="K234" t="s">
        <v>1266</v>
      </c>
      <c r="L234" t="s">
        <v>77</v>
      </c>
      <c r="M234" t="s">
        <v>78</v>
      </c>
      <c r="N234" t="s">
        <v>421</v>
      </c>
      <c r="O234" t="s">
        <v>1267</v>
      </c>
      <c r="P234" t="s">
        <v>1229</v>
      </c>
      <c r="X234">
        <v>10</v>
      </c>
      <c r="AF234" t="s">
        <v>372</v>
      </c>
      <c r="AG234" t="s">
        <v>296</v>
      </c>
      <c r="AH234" t="s">
        <v>372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1.5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461.9</v>
      </c>
      <c r="BE234">
        <v>0</v>
      </c>
      <c r="BF234">
        <v>400</v>
      </c>
      <c r="BG234">
        <v>0</v>
      </c>
      <c r="BH234">
        <v>0</v>
      </c>
      <c r="BI234">
        <v>80</v>
      </c>
      <c r="BJ234">
        <v>0</v>
      </c>
      <c r="BK234">
        <v>0</v>
      </c>
      <c r="BL234">
        <v>0</v>
      </c>
      <c r="BM234">
        <v>0</v>
      </c>
      <c r="BN234">
        <v>943.4</v>
      </c>
      <c r="BO234">
        <v>150.94</v>
      </c>
      <c r="BP234">
        <v>37.74</v>
      </c>
      <c r="BQ234">
        <f t="shared" si="3"/>
        <v>1056.5999999999999</v>
      </c>
      <c r="BR234" t="s">
        <v>423</v>
      </c>
    </row>
    <row r="235" spans="1:70">
      <c r="A235" t="s">
        <v>1268</v>
      </c>
      <c r="B235" t="s">
        <v>1269</v>
      </c>
      <c r="C235" t="s">
        <v>71</v>
      </c>
      <c r="D235" t="s">
        <v>289</v>
      </c>
      <c r="E235" t="s">
        <v>73</v>
      </c>
      <c r="F235" t="s">
        <v>74</v>
      </c>
      <c r="G235">
        <v>240828</v>
      </c>
      <c r="H235" t="s">
        <v>74</v>
      </c>
      <c r="I235" t="s">
        <v>75</v>
      </c>
      <c r="J235" t="s">
        <v>74</v>
      </c>
      <c r="K235" t="s">
        <v>1270</v>
      </c>
      <c r="L235" t="s">
        <v>77</v>
      </c>
      <c r="M235" t="s">
        <v>78</v>
      </c>
      <c r="N235" t="s">
        <v>913</v>
      </c>
      <c r="O235" t="s">
        <v>1271</v>
      </c>
      <c r="P235" t="s">
        <v>1229</v>
      </c>
      <c r="X235">
        <v>5</v>
      </c>
      <c r="AF235" t="s">
        <v>333</v>
      </c>
      <c r="AG235" t="s">
        <v>296</v>
      </c>
      <c r="AH235" t="s">
        <v>333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0.75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77.25</v>
      </c>
      <c r="BE235">
        <v>0</v>
      </c>
      <c r="BF235">
        <v>200</v>
      </c>
      <c r="BG235">
        <v>0</v>
      </c>
      <c r="BH235">
        <v>0</v>
      </c>
      <c r="BI235">
        <v>40</v>
      </c>
      <c r="BJ235">
        <v>0</v>
      </c>
      <c r="BK235">
        <v>0</v>
      </c>
      <c r="BL235">
        <v>0</v>
      </c>
      <c r="BM235">
        <v>0</v>
      </c>
      <c r="BN235">
        <v>318</v>
      </c>
      <c r="BO235">
        <v>50.88</v>
      </c>
      <c r="BP235">
        <v>12.72</v>
      </c>
      <c r="BQ235">
        <f t="shared" si="3"/>
        <v>356.15999999999997</v>
      </c>
      <c r="BR235" t="s">
        <v>915</v>
      </c>
    </row>
    <row r="236" spans="1:70">
      <c r="A236" t="s">
        <v>1272</v>
      </c>
      <c r="B236" t="s">
        <v>1273</v>
      </c>
      <c r="C236" t="s">
        <v>71</v>
      </c>
      <c r="D236" t="s">
        <v>289</v>
      </c>
      <c r="E236" t="s">
        <v>73</v>
      </c>
      <c r="F236" t="s">
        <v>74</v>
      </c>
      <c r="G236">
        <v>240825</v>
      </c>
      <c r="H236" t="s">
        <v>74</v>
      </c>
      <c r="I236" t="s">
        <v>75</v>
      </c>
      <c r="J236" t="s">
        <v>74</v>
      </c>
      <c r="K236" t="s">
        <v>1274</v>
      </c>
      <c r="L236" t="s">
        <v>77</v>
      </c>
      <c r="M236" t="s">
        <v>78</v>
      </c>
      <c r="N236" t="s">
        <v>343</v>
      </c>
      <c r="O236" t="s">
        <v>1275</v>
      </c>
      <c r="P236" t="s">
        <v>1229</v>
      </c>
      <c r="X236">
        <v>8</v>
      </c>
      <c r="AF236" t="s">
        <v>1006</v>
      </c>
      <c r="AG236" t="s">
        <v>296</v>
      </c>
      <c r="AH236" t="s">
        <v>1006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1.2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123.6</v>
      </c>
      <c r="BE236">
        <v>0</v>
      </c>
      <c r="BF236">
        <v>320</v>
      </c>
      <c r="BG236">
        <v>0</v>
      </c>
      <c r="BH236">
        <v>0</v>
      </c>
      <c r="BI236">
        <v>64</v>
      </c>
      <c r="BJ236">
        <v>0</v>
      </c>
      <c r="BK236">
        <v>0</v>
      </c>
      <c r="BL236">
        <v>0</v>
      </c>
      <c r="BM236">
        <v>0</v>
      </c>
      <c r="BN236">
        <v>508.8</v>
      </c>
      <c r="BO236">
        <v>81.41</v>
      </c>
      <c r="BP236">
        <v>20.350000000000001</v>
      </c>
      <c r="BQ236">
        <f t="shared" si="3"/>
        <v>569.86</v>
      </c>
      <c r="BR236" t="s">
        <v>343</v>
      </c>
    </row>
    <row r="237" spans="1:70">
      <c r="A237" t="s">
        <v>1276</v>
      </c>
      <c r="B237" t="s">
        <v>1277</v>
      </c>
      <c r="C237" t="s">
        <v>71</v>
      </c>
      <c r="D237" t="s">
        <v>289</v>
      </c>
      <c r="E237" t="s">
        <v>73</v>
      </c>
      <c r="F237" t="s">
        <v>74</v>
      </c>
      <c r="G237">
        <v>240824</v>
      </c>
      <c r="H237" t="s">
        <v>74</v>
      </c>
      <c r="I237" t="s">
        <v>75</v>
      </c>
      <c r="J237" t="s">
        <v>74</v>
      </c>
      <c r="K237" t="s">
        <v>1278</v>
      </c>
      <c r="L237" t="s">
        <v>77</v>
      </c>
      <c r="M237" t="s">
        <v>78</v>
      </c>
      <c r="N237" t="s">
        <v>406</v>
      </c>
      <c r="O237" t="s">
        <v>1279</v>
      </c>
      <c r="P237" t="s">
        <v>1229</v>
      </c>
      <c r="X237">
        <v>18</v>
      </c>
      <c r="AF237" t="s">
        <v>395</v>
      </c>
      <c r="AG237" t="s">
        <v>296</v>
      </c>
      <c r="AH237" t="s">
        <v>395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2.7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278.10000000000002</v>
      </c>
      <c r="BE237">
        <v>0</v>
      </c>
      <c r="BF237">
        <v>720</v>
      </c>
      <c r="BG237">
        <v>0</v>
      </c>
      <c r="BH237">
        <v>0</v>
      </c>
      <c r="BI237">
        <v>144</v>
      </c>
      <c r="BJ237">
        <v>0</v>
      </c>
      <c r="BK237">
        <v>0</v>
      </c>
      <c r="BL237">
        <v>0</v>
      </c>
      <c r="BM237">
        <v>0</v>
      </c>
      <c r="BN237">
        <v>1144.8</v>
      </c>
      <c r="BO237">
        <v>183.17</v>
      </c>
      <c r="BP237">
        <v>45.79</v>
      </c>
      <c r="BQ237">
        <f t="shared" si="3"/>
        <v>1282.18</v>
      </c>
      <c r="BR237" t="s">
        <v>406</v>
      </c>
    </row>
    <row r="238" spans="1:70">
      <c r="A238" t="s">
        <v>1280</v>
      </c>
      <c r="B238" t="s">
        <v>1281</v>
      </c>
      <c r="C238" t="s">
        <v>71</v>
      </c>
      <c r="D238" t="s">
        <v>289</v>
      </c>
      <c r="E238" t="s">
        <v>73</v>
      </c>
      <c r="F238" t="s">
        <v>74</v>
      </c>
      <c r="G238">
        <v>240823</v>
      </c>
      <c r="H238" t="s">
        <v>74</v>
      </c>
      <c r="I238" t="s">
        <v>75</v>
      </c>
      <c r="J238" t="s">
        <v>74</v>
      </c>
      <c r="K238" t="s">
        <v>1282</v>
      </c>
      <c r="L238" t="s">
        <v>77</v>
      </c>
      <c r="M238" t="s">
        <v>78</v>
      </c>
      <c r="N238" t="s">
        <v>137</v>
      </c>
      <c r="O238" t="s">
        <v>1283</v>
      </c>
      <c r="P238" t="s">
        <v>1229</v>
      </c>
      <c r="X238">
        <v>17</v>
      </c>
      <c r="AF238" t="s">
        <v>464</v>
      </c>
      <c r="AG238" t="s">
        <v>296</v>
      </c>
      <c r="AH238" t="s">
        <v>464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2.5499999999999998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785.23</v>
      </c>
      <c r="BE238">
        <v>0</v>
      </c>
      <c r="BF238">
        <v>680</v>
      </c>
      <c r="BG238">
        <v>0</v>
      </c>
      <c r="BH238">
        <v>0</v>
      </c>
      <c r="BI238">
        <v>136</v>
      </c>
      <c r="BJ238">
        <v>0</v>
      </c>
      <c r="BK238">
        <v>0</v>
      </c>
      <c r="BL238">
        <v>0</v>
      </c>
      <c r="BM238">
        <v>0</v>
      </c>
      <c r="BN238">
        <v>1603.78</v>
      </c>
      <c r="BO238">
        <v>256.61</v>
      </c>
      <c r="BP238">
        <v>64.150000000000006</v>
      </c>
      <c r="BQ238">
        <f t="shared" si="3"/>
        <v>1796.2399999999998</v>
      </c>
      <c r="BR238" t="s">
        <v>141</v>
      </c>
    </row>
    <row r="239" spans="1:70">
      <c r="A239" t="s">
        <v>1284</v>
      </c>
      <c r="B239" t="s">
        <v>1285</v>
      </c>
      <c r="C239" t="s">
        <v>71</v>
      </c>
      <c r="D239" t="s">
        <v>289</v>
      </c>
      <c r="E239" t="s">
        <v>73</v>
      </c>
      <c r="F239" t="s">
        <v>74</v>
      </c>
      <c r="G239">
        <v>240821</v>
      </c>
      <c r="H239" t="s">
        <v>74</v>
      </c>
      <c r="I239" t="s">
        <v>75</v>
      </c>
      <c r="J239" t="s">
        <v>74</v>
      </c>
      <c r="K239" t="s">
        <v>1286</v>
      </c>
      <c r="L239" t="s">
        <v>77</v>
      </c>
      <c r="M239" t="s">
        <v>78</v>
      </c>
      <c r="N239" t="s">
        <v>620</v>
      </c>
      <c r="O239" t="s">
        <v>1287</v>
      </c>
      <c r="P239" t="s">
        <v>1229</v>
      </c>
      <c r="X239">
        <v>10</v>
      </c>
      <c r="AF239" t="s">
        <v>372</v>
      </c>
      <c r="AG239" t="s">
        <v>296</v>
      </c>
      <c r="AH239" t="s">
        <v>372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1.5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154.5</v>
      </c>
      <c r="BE239">
        <v>0</v>
      </c>
      <c r="BF239">
        <v>400</v>
      </c>
      <c r="BG239">
        <v>0</v>
      </c>
      <c r="BH239">
        <v>0</v>
      </c>
      <c r="BI239">
        <v>80</v>
      </c>
      <c r="BJ239">
        <v>0</v>
      </c>
      <c r="BK239">
        <v>0</v>
      </c>
      <c r="BL239">
        <v>0</v>
      </c>
      <c r="BM239">
        <v>0</v>
      </c>
      <c r="BN239">
        <v>636</v>
      </c>
      <c r="BO239">
        <v>101.76</v>
      </c>
      <c r="BP239">
        <v>25.44</v>
      </c>
      <c r="BQ239">
        <f t="shared" si="3"/>
        <v>712.31999999999994</v>
      </c>
      <c r="BR239" t="s">
        <v>83</v>
      </c>
    </row>
    <row r="240" spans="1:70">
      <c r="A240" t="s">
        <v>1288</v>
      </c>
      <c r="B240" t="s">
        <v>1289</v>
      </c>
      <c r="C240" t="s">
        <v>71</v>
      </c>
      <c r="D240" t="s">
        <v>289</v>
      </c>
      <c r="E240" t="s">
        <v>73</v>
      </c>
      <c r="F240" t="s">
        <v>74</v>
      </c>
      <c r="G240">
        <v>240820</v>
      </c>
      <c r="H240" t="s">
        <v>74</v>
      </c>
      <c r="I240" t="s">
        <v>75</v>
      </c>
      <c r="J240" t="s">
        <v>74</v>
      </c>
      <c r="K240" t="s">
        <v>1290</v>
      </c>
      <c r="L240" t="s">
        <v>77</v>
      </c>
      <c r="M240" t="s">
        <v>78</v>
      </c>
      <c r="N240" t="s">
        <v>79</v>
      </c>
      <c r="O240" t="s">
        <v>80</v>
      </c>
      <c r="P240" t="s">
        <v>1229</v>
      </c>
      <c r="X240">
        <v>14</v>
      </c>
      <c r="AF240" t="s">
        <v>413</v>
      </c>
      <c r="AG240" t="s">
        <v>296</v>
      </c>
      <c r="AH240" t="s">
        <v>413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2.1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216.3</v>
      </c>
      <c r="BE240">
        <v>0</v>
      </c>
      <c r="BF240">
        <v>560</v>
      </c>
      <c r="BG240">
        <v>0</v>
      </c>
      <c r="BH240">
        <v>0</v>
      </c>
      <c r="BI240">
        <v>112</v>
      </c>
      <c r="BJ240">
        <v>0</v>
      </c>
      <c r="BK240">
        <v>0</v>
      </c>
      <c r="BL240">
        <v>0</v>
      </c>
      <c r="BM240">
        <v>0</v>
      </c>
      <c r="BN240">
        <v>890.4</v>
      </c>
      <c r="BO240">
        <v>142.47</v>
      </c>
      <c r="BP240">
        <v>35.61</v>
      </c>
      <c r="BQ240">
        <f t="shared" si="3"/>
        <v>997.25999999999988</v>
      </c>
      <c r="BR240" t="s">
        <v>83</v>
      </c>
    </row>
    <row r="241" spans="1:70">
      <c r="A241" t="s">
        <v>1291</v>
      </c>
      <c r="B241" t="s">
        <v>1292</v>
      </c>
      <c r="C241" t="s">
        <v>71</v>
      </c>
      <c r="D241" t="s">
        <v>289</v>
      </c>
      <c r="E241" t="s">
        <v>73</v>
      </c>
      <c r="F241" t="s">
        <v>74</v>
      </c>
      <c r="G241">
        <v>240804</v>
      </c>
      <c r="H241" t="s">
        <v>74</v>
      </c>
      <c r="I241" t="s">
        <v>75</v>
      </c>
      <c r="J241" t="s">
        <v>74</v>
      </c>
      <c r="K241" t="s">
        <v>1293</v>
      </c>
      <c r="L241" t="s">
        <v>77</v>
      </c>
      <c r="M241" t="s">
        <v>78</v>
      </c>
      <c r="N241" t="s">
        <v>1110</v>
      </c>
      <c r="O241" t="s">
        <v>1294</v>
      </c>
      <c r="P241" t="s">
        <v>1229</v>
      </c>
      <c r="X241">
        <v>9</v>
      </c>
      <c r="AF241" t="s">
        <v>407</v>
      </c>
      <c r="AG241" t="s">
        <v>296</v>
      </c>
      <c r="AH241" t="s">
        <v>407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1.35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139.05000000000001</v>
      </c>
      <c r="BE241">
        <v>0</v>
      </c>
      <c r="BF241">
        <v>360</v>
      </c>
      <c r="BG241">
        <v>0</v>
      </c>
      <c r="BH241">
        <v>0</v>
      </c>
      <c r="BI241">
        <v>72</v>
      </c>
      <c r="BJ241">
        <v>0</v>
      </c>
      <c r="BK241">
        <v>0</v>
      </c>
      <c r="BL241">
        <v>0</v>
      </c>
      <c r="BM241">
        <v>0</v>
      </c>
      <c r="BN241">
        <v>572.4</v>
      </c>
      <c r="BO241">
        <v>91.59</v>
      </c>
      <c r="BP241">
        <v>22.89</v>
      </c>
      <c r="BQ241">
        <f t="shared" si="3"/>
        <v>641.1</v>
      </c>
      <c r="BR241" t="s">
        <v>371</v>
      </c>
    </row>
    <row r="242" spans="1:70">
      <c r="A242" t="s">
        <v>1295</v>
      </c>
      <c r="B242" t="s">
        <v>1296</v>
      </c>
      <c r="C242" t="s">
        <v>71</v>
      </c>
      <c r="D242" t="s">
        <v>289</v>
      </c>
      <c r="E242" t="s">
        <v>73</v>
      </c>
      <c r="F242" t="s">
        <v>74</v>
      </c>
      <c r="G242">
        <v>240799</v>
      </c>
      <c r="H242" t="s">
        <v>74</v>
      </c>
      <c r="I242" t="s">
        <v>75</v>
      </c>
      <c r="J242" t="s">
        <v>74</v>
      </c>
      <c r="K242" t="s">
        <v>1297</v>
      </c>
      <c r="L242" t="s">
        <v>77</v>
      </c>
      <c r="M242" t="s">
        <v>78</v>
      </c>
      <c r="N242" t="s">
        <v>461</v>
      </c>
      <c r="O242" t="s">
        <v>1298</v>
      </c>
      <c r="P242" t="s">
        <v>1229</v>
      </c>
      <c r="X242">
        <v>10</v>
      </c>
      <c r="AF242" t="s">
        <v>372</v>
      </c>
      <c r="AG242" t="s">
        <v>296</v>
      </c>
      <c r="AH242" t="s">
        <v>372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1.5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154.5</v>
      </c>
      <c r="BE242">
        <v>0</v>
      </c>
      <c r="BF242">
        <v>400</v>
      </c>
      <c r="BG242">
        <v>0</v>
      </c>
      <c r="BH242">
        <v>0</v>
      </c>
      <c r="BI242">
        <v>80</v>
      </c>
      <c r="BJ242">
        <v>0</v>
      </c>
      <c r="BK242">
        <v>0</v>
      </c>
      <c r="BL242">
        <v>0</v>
      </c>
      <c r="BM242">
        <v>0</v>
      </c>
      <c r="BN242">
        <v>636</v>
      </c>
      <c r="BO242">
        <v>101.76</v>
      </c>
      <c r="BP242">
        <v>25.44</v>
      </c>
      <c r="BQ242">
        <f t="shared" si="3"/>
        <v>712.31999999999994</v>
      </c>
      <c r="BR242" t="s">
        <v>83</v>
      </c>
    </row>
    <row r="243" spans="1:70">
      <c r="A243" t="s">
        <v>1299</v>
      </c>
      <c r="B243" t="s">
        <v>1300</v>
      </c>
      <c r="C243" t="s">
        <v>71</v>
      </c>
      <c r="D243" t="s">
        <v>289</v>
      </c>
      <c r="E243" t="s">
        <v>73</v>
      </c>
      <c r="F243" t="s">
        <v>74</v>
      </c>
      <c r="G243">
        <v>240798</v>
      </c>
      <c r="H243" t="s">
        <v>74</v>
      </c>
      <c r="I243" t="s">
        <v>75</v>
      </c>
      <c r="J243" t="s">
        <v>74</v>
      </c>
      <c r="K243" t="s">
        <v>1301</v>
      </c>
      <c r="L243" t="s">
        <v>77</v>
      </c>
      <c r="M243" t="s">
        <v>78</v>
      </c>
      <c r="N243" t="s">
        <v>721</v>
      </c>
      <c r="O243" t="s">
        <v>1302</v>
      </c>
      <c r="P243" t="s">
        <v>1229</v>
      </c>
      <c r="X243">
        <v>18</v>
      </c>
      <c r="AF243" t="s">
        <v>395</v>
      </c>
      <c r="AG243" t="s">
        <v>296</v>
      </c>
      <c r="AH243" t="s">
        <v>395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2.7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278.10000000000002</v>
      </c>
      <c r="BE243">
        <v>0</v>
      </c>
      <c r="BF243">
        <v>720</v>
      </c>
      <c r="BG243">
        <v>0</v>
      </c>
      <c r="BH243">
        <v>0</v>
      </c>
      <c r="BI243">
        <v>144</v>
      </c>
      <c r="BJ243">
        <v>0</v>
      </c>
      <c r="BK243">
        <v>0</v>
      </c>
      <c r="BL243">
        <v>0</v>
      </c>
      <c r="BM243">
        <v>0</v>
      </c>
      <c r="BN243">
        <v>1144.8</v>
      </c>
      <c r="BO243">
        <v>183.17</v>
      </c>
      <c r="BP243">
        <v>45.79</v>
      </c>
      <c r="BQ243">
        <f t="shared" si="3"/>
        <v>1282.18</v>
      </c>
      <c r="BR243" t="s">
        <v>721</v>
      </c>
    </row>
    <row r="244" spans="1:70">
      <c r="A244" t="s">
        <v>1303</v>
      </c>
      <c r="B244" t="s">
        <v>1304</v>
      </c>
      <c r="C244" t="s">
        <v>71</v>
      </c>
      <c r="D244" t="s">
        <v>289</v>
      </c>
      <c r="E244" t="s">
        <v>73</v>
      </c>
      <c r="F244" t="s">
        <v>74</v>
      </c>
      <c r="G244">
        <v>240797</v>
      </c>
      <c r="H244" t="s">
        <v>74</v>
      </c>
      <c r="I244" t="s">
        <v>75</v>
      </c>
      <c r="J244" t="s">
        <v>74</v>
      </c>
      <c r="K244" t="s">
        <v>1305</v>
      </c>
      <c r="L244" t="s">
        <v>77</v>
      </c>
      <c r="M244" t="s">
        <v>78</v>
      </c>
      <c r="N244" t="s">
        <v>421</v>
      </c>
      <c r="O244" t="s">
        <v>422</v>
      </c>
      <c r="P244" t="s">
        <v>1229</v>
      </c>
      <c r="AB244">
        <v>3</v>
      </c>
      <c r="AF244" t="s">
        <v>314</v>
      </c>
      <c r="AG244" t="s">
        <v>296</v>
      </c>
      <c r="AH244" t="s">
        <v>314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0.45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327.24</v>
      </c>
      <c r="BE244">
        <v>0</v>
      </c>
      <c r="BF244">
        <v>120</v>
      </c>
      <c r="BG244">
        <v>0</v>
      </c>
      <c r="BH244">
        <v>0</v>
      </c>
      <c r="BI244">
        <v>24</v>
      </c>
      <c r="BJ244">
        <v>0</v>
      </c>
      <c r="BK244">
        <v>0</v>
      </c>
      <c r="BL244">
        <v>0</v>
      </c>
      <c r="BM244">
        <v>0</v>
      </c>
      <c r="BN244">
        <v>471.69</v>
      </c>
      <c r="BO244">
        <v>75.47</v>
      </c>
      <c r="BP244">
        <v>18.87</v>
      </c>
      <c r="BQ244">
        <f t="shared" si="3"/>
        <v>528.29</v>
      </c>
      <c r="BR244" t="s">
        <v>423</v>
      </c>
    </row>
    <row r="245" spans="1:70">
      <c r="A245" t="s">
        <v>1306</v>
      </c>
      <c r="B245" t="s">
        <v>1307</v>
      </c>
      <c r="C245" t="s">
        <v>71</v>
      </c>
      <c r="D245" t="s">
        <v>289</v>
      </c>
      <c r="E245" t="s">
        <v>73</v>
      </c>
      <c r="F245" t="s">
        <v>74</v>
      </c>
      <c r="G245">
        <v>240887</v>
      </c>
      <c r="H245" t="s">
        <v>74</v>
      </c>
      <c r="I245" t="s">
        <v>75</v>
      </c>
      <c r="J245" t="s">
        <v>74</v>
      </c>
      <c r="K245" t="s">
        <v>1308</v>
      </c>
      <c r="L245" t="s">
        <v>77</v>
      </c>
      <c r="M245" t="s">
        <v>78</v>
      </c>
      <c r="N245" t="s">
        <v>1309</v>
      </c>
      <c r="O245" t="s">
        <v>1310</v>
      </c>
      <c r="P245" t="s">
        <v>121</v>
      </c>
      <c r="AD245">
        <v>4</v>
      </c>
      <c r="AF245" t="s">
        <v>326</v>
      </c>
      <c r="AG245" t="s">
        <v>296</v>
      </c>
      <c r="AH245" t="s">
        <v>326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0.6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231.4</v>
      </c>
      <c r="BE245">
        <v>0</v>
      </c>
      <c r="BF245">
        <v>160</v>
      </c>
      <c r="BG245">
        <v>0</v>
      </c>
      <c r="BH245">
        <v>0</v>
      </c>
      <c r="BI245">
        <v>32</v>
      </c>
      <c r="BJ245">
        <v>0</v>
      </c>
      <c r="BK245">
        <v>0</v>
      </c>
      <c r="BL245">
        <v>0</v>
      </c>
      <c r="BM245">
        <v>0</v>
      </c>
      <c r="BN245">
        <v>424</v>
      </c>
      <c r="BO245">
        <v>67.84</v>
      </c>
      <c r="BP245">
        <v>16.96</v>
      </c>
      <c r="BQ245">
        <f t="shared" si="3"/>
        <v>474.88000000000005</v>
      </c>
      <c r="BR245" t="s">
        <v>83</v>
      </c>
    </row>
    <row r="246" spans="1:70">
      <c r="A246" t="s">
        <v>1311</v>
      </c>
      <c r="B246" t="s">
        <v>1312</v>
      </c>
      <c r="C246" t="s">
        <v>71</v>
      </c>
      <c r="D246" t="s">
        <v>289</v>
      </c>
      <c r="E246" t="s">
        <v>73</v>
      </c>
      <c r="F246" t="s">
        <v>74</v>
      </c>
      <c r="G246">
        <v>240884</v>
      </c>
      <c r="H246" t="s">
        <v>74</v>
      </c>
      <c r="I246" t="s">
        <v>75</v>
      </c>
      <c r="J246" t="s">
        <v>74</v>
      </c>
      <c r="K246" t="s">
        <v>1313</v>
      </c>
      <c r="L246" t="s">
        <v>77</v>
      </c>
      <c r="M246" t="s">
        <v>78</v>
      </c>
      <c r="N246" t="s">
        <v>524</v>
      </c>
      <c r="O246" t="s">
        <v>1314</v>
      </c>
      <c r="P246" t="s">
        <v>121</v>
      </c>
      <c r="X246">
        <v>10</v>
      </c>
      <c r="AF246" t="s">
        <v>372</v>
      </c>
      <c r="AG246" t="s">
        <v>296</v>
      </c>
      <c r="AH246" t="s">
        <v>372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1.5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154.5</v>
      </c>
      <c r="BE246">
        <v>0</v>
      </c>
      <c r="BF246">
        <v>400</v>
      </c>
      <c r="BG246">
        <v>0</v>
      </c>
      <c r="BH246">
        <v>0</v>
      </c>
      <c r="BI246">
        <v>80</v>
      </c>
      <c r="BJ246">
        <v>0</v>
      </c>
      <c r="BK246">
        <v>0</v>
      </c>
      <c r="BL246">
        <v>0</v>
      </c>
      <c r="BM246">
        <v>0</v>
      </c>
      <c r="BN246">
        <v>636</v>
      </c>
      <c r="BO246">
        <v>101.76</v>
      </c>
      <c r="BP246">
        <v>25.44</v>
      </c>
      <c r="BQ246">
        <f t="shared" si="3"/>
        <v>712.31999999999994</v>
      </c>
      <c r="BR246" t="s">
        <v>524</v>
      </c>
    </row>
    <row r="247" spans="1:70">
      <c r="A247" t="s">
        <v>1315</v>
      </c>
      <c r="B247" t="s">
        <v>1316</v>
      </c>
      <c r="C247" t="s">
        <v>71</v>
      </c>
      <c r="D247" t="s">
        <v>289</v>
      </c>
      <c r="E247" t="s">
        <v>73</v>
      </c>
      <c r="F247" t="s">
        <v>74</v>
      </c>
      <c r="G247">
        <v>240883</v>
      </c>
      <c r="H247" t="s">
        <v>74</v>
      </c>
      <c r="I247" t="s">
        <v>75</v>
      </c>
      <c r="K247" t="s">
        <v>1317</v>
      </c>
      <c r="L247" t="s">
        <v>77</v>
      </c>
      <c r="M247" t="s">
        <v>78</v>
      </c>
      <c r="N247" t="s">
        <v>1318</v>
      </c>
      <c r="O247" t="s">
        <v>1319</v>
      </c>
      <c r="P247" t="s">
        <v>121</v>
      </c>
      <c r="X247">
        <v>9</v>
      </c>
      <c r="AF247" t="s">
        <v>407</v>
      </c>
      <c r="AG247" t="s">
        <v>296</v>
      </c>
      <c r="AH247" t="s">
        <v>407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1.35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139.05000000000001</v>
      </c>
      <c r="BE247">
        <v>0</v>
      </c>
      <c r="BF247">
        <v>360</v>
      </c>
      <c r="BG247">
        <v>0</v>
      </c>
      <c r="BH247">
        <v>0</v>
      </c>
      <c r="BI247">
        <v>72</v>
      </c>
      <c r="BJ247">
        <v>0</v>
      </c>
      <c r="BK247">
        <v>0</v>
      </c>
      <c r="BL247">
        <v>0</v>
      </c>
      <c r="BM247">
        <v>0</v>
      </c>
      <c r="BN247">
        <v>572.4</v>
      </c>
      <c r="BO247">
        <v>91.59</v>
      </c>
      <c r="BP247">
        <v>22.89</v>
      </c>
      <c r="BQ247">
        <f t="shared" si="3"/>
        <v>641.1</v>
      </c>
      <c r="BR247" t="s">
        <v>1318</v>
      </c>
    </row>
    <row r="248" spans="1:70">
      <c r="A248" t="s">
        <v>1320</v>
      </c>
      <c r="B248" t="s">
        <v>1321</v>
      </c>
      <c r="C248" t="s">
        <v>71</v>
      </c>
      <c r="D248" t="s">
        <v>289</v>
      </c>
      <c r="E248" t="s">
        <v>73</v>
      </c>
      <c r="F248" t="s">
        <v>74</v>
      </c>
      <c r="G248">
        <v>240880</v>
      </c>
      <c r="H248" t="s">
        <v>74</v>
      </c>
      <c r="I248" t="s">
        <v>75</v>
      </c>
      <c r="J248" t="s">
        <v>74</v>
      </c>
      <c r="K248" t="s">
        <v>1322</v>
      </c>
      <c r="L248" t="s">
        <v>77</v>
      </c>
      <c r="M248" t="s">
        <v>78</v>
      </c>
      <c r="N248" t="s">
        <v>432</v>
      </c>
      <c r="O248" t="s">
        <v>606</v>
      </c>
      <c r="P248" t="s">
        <v>121</v>
      </c>
      <c r="X248">
        <v>23</v>
      </c>
      <c r="AF248" t="s">
        <v>428</v>
      </c>
      <c r="AG248" t="s">
        <v>296</v>
      </c>
      <c r="AH248" t="s">
        <v>428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3.45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1062.3699999999999</v>
      </c>
      <c r="BE248">
        <v>0</v>
      </c>
      <c r="BF248">
        <v>920</v>
      </c>
      <c r="BG248">
        <v>0</v>
      </c>
      <c r="BH248">
        <v>0</v>
      </c>
      <c r="BI248">
        <v>184</v>
      </c>
      <c r="BJ248">
        <v>0</v>
      </c>
      <c r="BK248">
        <v>0</v>
      </c>
      <c r="BL248">
        <v>0</v>
      </c>
      <c r="BM248">
        <v>0</v>
      </c>
      <c r="BN248">
        <v>2169.8200000000002</v>
      </c>
      <c r="BO248">
        <v>347.17</v>
      </c>
      <c r="BP248">
        <v>86.79</v>
      </c>
      <c r="BQ248">
        <f t="shared" si="3"/>
        <v>2430.2000000000003</v>
      </c>
      <c r="BR248" t="s">
        <v>432</v>
      </c>
    </row>
    <row r="249" spans="1:70">
      <c r="A249" t="s">
        <v>1323</v>
      </c>
      <c r="B249" t="s">
        <v>1324</v>
      </c>
      <c r="C249" t="s">
        <v>71</v>
      </c>
      <c r="D249" t="s">
        <v>289</v>
      </c>
      <c r="E249" t="s">
        <v>73</v>
      </c>
      <c r="F249" t="s">
        <v>74</v>
      </c>
      <c r="G249">
        <v>240879</v>
      </c>
      <c r="H249" t="s">
        <v>74</v>
      </c>
      <c r="I249" t="s">
        <v>75</v>
      </c>
      <c r="J249" t="s">
        <v>74</v>
      </c>
      <c r="K249" t="s">
        <v>1325</v>
      </c>
      <c r="L249" t="s">
        <v>77</v>
      </c>
      <c r="M249" t="s">
        <v>78</v>
      </c>
      <c r="N249" t="s">
        <v>406</v>
      </c>
      <c r="O249" t="s">
        <v>1326</v>
      </c>
      <c r="P249" t="s">
        <v>121</v>
      </c>
      <c r="X249">
        <v>6</v>
      </c>
      <c r="AF249" t="s">
        <v>400</v>
      </c>
      <c r="AG249" t="s">
        <v>296</v>
      </c>
      <c r="AH249" t="s">
        <v>400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0.9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92.7</v>
      </c>
      <c r="BE249">
        <v>0</v>
      </c>
      <c r="BF249">
        <v>240</v>
      </c>
      <c r="BG249">
        <v>0</v>
      </c>
      <c r="BH249">
        <v>0</v>
      </c>
      <c r="BI249">
        <v>48</v>
      </c>
      <c r="BJ249">
        <v>0</v>
      </c>
      <c r="BK249">
        <v>0</v>
      </c>
      <c r="BL249">
        <v>0</v>
      </c>
      <c r="BM249">
        <v>0</v>
      </c>
      <c r="BN249">
        <v>381.6</v>
      </c>
      <c r="BO249">
        <v>61.05</v>
      </c>
      <c r="BP249">
        <v>15.27</v>
      </c>
      <c r="BQ249">
        <f t="shared" si="3"/>
        <v>427.38000000000005</v>
      </c>
      <c r="BR249" t="s">
        <v>406</v>
      </c>
    </row>
    <row r="250" spans="1:70">
      <c r="A250" t="s">
        <v>1327</v>
      </c>
      <c r="B250" t="s">
        <v>1328</v>
      </c>
      <c r="C250" t="s">
        <v>71</v>
      </c>
      <c r="D250" t="s">
        <v>289</v>
      </c>
      <c r="E250" t="s">
        <v>73</v>
      </c>
      <c r="F250" t="s">
        <v>74</v>
      </c>
      <c r="G250">
        <v>240878</v>
      </c>
      <c r="H250" t="s">
        <v>74</v>
      </c>
      <c r="I250" t="s">
        <v>75</v>
      </c>
      <c r="J250" t="s">
        <v>74</v>
      </c>
      <c r="K250" t="s">
        <v>1329</v>
      </c>
      <c r="L250" t="s">
        <v>77</v>
      </c>
      <c r="M250" t="s">
        <v>78</v>
      </c>
      <c r="N250" t="s">
        <v>421</v>
      </c>
      <c r="O250" t="s">
        <v>1330</v>
      </c>
      <c r="P250" t="s">
        <v>121</v>
      </c>
      <c r="X250">
        <v>15</v>
      </c>
      <c r="AF250" t="s">
        <v>235</v>
      </c>
      <c r="AG250" t="s">
        <v>296</v>
      </c>
      <c r="AH250" t="s">
        <v>235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2.25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692.85</v>
      </c>
      <c r="BE250">
        <v>0</v>
      </c>
      <c r="BF250">
        <v>600</v>
      </c>
      <c r="BG250">
        <v>0</v>
      </c>
      <c r="BH250">
        <v>0</v>
      </c>
      <c r="BI250">
        <v>120</v>
      </c>
      <c r="BJ250">
        <v>0</v>
      </c>
      <c r="BK250">
        <v>0</v>
      </c>
      <c r="BL250">
        <v>0</v>
      </c>
      <c r="BM250">
        <v>0</v>
      </c>
      <c r="BN250">
        <v>1415.1</v>
      </c>
      <c r="BO250">
        <v>226.42</v>
      </c>
      <c r="BP250">
        <v>56.6</v>
      </c>
      <c r="BQ250">
        <f t="shared" si="3"/>
        <v>1584.92</v>
      </c>
      <c r="BR250" t="s">
        <v>423</v>
      </c>
    </row>
    <row r="251" spans="1:70">
      <c r="A251" t="s">
        <v>1331</v>
      </c>
      <c r="B251" t="s">
        <v>1332</v>
      </c>
      <c r="C251" t="s">
        <v>71</v>
      </c>
      <c r="D251" t="s">
        <v>289</v>
      </c>
      <c r="E251" t="s">
        <v>73</v>
      </c>
      <c r="F251" t="s">
        <v>74</v>
      </c>
      <c r="G251">
        <v>240873</v>
      </c>
      <c r="H251" t="s">
        <v>74</v>
      </c>
      <c r="I251" t="s">
        <v>75</v>
      </c>
      <c r="J251" t="s">
        <v>74</v>
      </c>
      <c r="K251" t="s">
        <v>1333</v>
      </c>
      <c r="L251" t="s">
        <v>77</v>
      </c>
      <c r="M251" t="s">
        <v>78</v>
      </c>
      <c r="N251" t="s">
        <v>337</v>
      </c>
      <c r="O251" t="s">
        <v>338</v>
      </c>
      <c r="P251" t="s">
        <v>121</v>
      </c>
      <c r="X251">
        <v>9</v>
      </c>
      <c r="AF251" t="s">
        <v>407</v>
      </c>
      <c r="AG251" t="s">
        <v>296</v>
      </c>
      <c r="AH251" t="s">
        <v>407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1.35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415.71</v>
      </c>
      <c r="BE251">
        <v>0</v>
      </c>
      <c r="BF251">
        <v>360</v>
      </c>
      <c r="BG251">
        <v>0</v>
      </c>
      <c r="BH251">
        <v>0</v>
      </c>
      <c r="BI251">
        <v>72</v>
      </c>
      <c r="BJ251">
        <v>0</v>
      </c>
      <c r="BK251">
        <v>0</v>
      </c>
      <c r="BL251">
        <v>0</v>
      </c>
      <c r="BM251">
        <v>0</v>
      </c>
      <c r="BN251">
        <v>849.06</v>
      </c>
      <c r="BO251">
        <v>135.85</v>
      </c>
      <c r="BP251">
        <v>33.96</v>
      </c>
      <c r="BQ251">
        <f t="shared" si="3"/>
        <v>950.94999999999993</v>
      </c>
      <c r="BR251" t="s">
        <v>337</v>
      </c>
    </row>
    <row r="252" spans="1:70">
      <c r="A252" t="s">
        <v>1334</v>
      </c>
      <c r="B252" t="s">
        <v>1335</v>
      </c>
      <c r="C252" t="s">
        <v>71</v>
      </c>
      <c r="D252" t="s">
        <v>289</v>
      </c>
      <c r="E252" t="s">
        <v>73</v>
      </c>
      <c r="F252" t="s">
        <v>74</v>
      </c>
      <c r="G252">
        <v>240872</v>
      </c>
      <c r="H252" t="s">
        <v>74</v>
      </c>
      <c r="I252" t="s">
        <v>75</v>
      </c>
      <c r="K252" t="s">
        <v>1336</v>
      </c>
      <c r="L252" t="s">
        <v>77</v>
      </c>
      <c r="M252" t="s">
        <v>78</v>
      </c>
      <c r="N252" t="s">
        <v>1337</v>
      </c>
      <c r="O252" t="s">
        <v>1338</v>
      </c>
      <c r="P252" t="s">
        <v>121</v>
      </c>
      <c r="X252">
        <v>25</v>
      </c>
      <c r="AF252" t="s">
        <v>717</v>
      </c>
      <c r="AG252" t="s">
        <v>296</v>
      </c>
      <c r="AH252" t="s">
        <v>717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3.75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1154.75</v>
      </c>
      <c r="BE252">
        <v>0</v>
      </c>
      <c r="BF252">
        <v>1000</v>
      </c>
      <c r="BG252">
        <v>0</v>
      </c>
      <c r="BH252">
        <v>0</v>
      </c>
      <c r="BI252">
        <v>200</v>
      </c>
      <c r="BJ252">
        <v>0</v>
      </c>
      <c r="BK252">
        <v>0</v>
      </c>
      <c r="BL252">
        <v>0</v>
      </c>
      <c r="BM252">
        <v>0</v>
      </c>
      <c r="BN252">
        <v>2358.5</v>
      </c>
      <c r="BO252">
        <v>377.36</v>
      </c>
      <c r="BP252">
        <v>94.34</v>
      </c>
      <c r="BQ252">
        <f t="shared" si="3"/>
        <v>2641.52</v>
      </c>
      <c r="BR252" t="s">
        <v>1339</v>
      </c>
    </row>
    <row r="253" spans="1:70">
      <c r="A253" t="s">
        <v>1340</v>
      </c>
      <c r="B253" t="s">
        <v>1341</v>
      </c>
      <c r="C253" t="s">
        <v>71</v>
      </c>
      <c r="D253" t="s">
        <v>289</v>
      </c>
      <c r="E253" t="s">
        <v>73</v>
      </c>
      <c r="F253" t="s">
        <v>74</v>
      </c>
      <c r="G253">
        <v>240869</v>
      </c>
      <c r="H253" t="s">
        <v>74</v>
      </c>
      <c r="I253" t="s">
        <v>75</v>
      </c>
      <c r="J253" t="s">
        <v>74</v>
      </c>
      <c r="K253" t="s">
        <v>1342</v>
      </c>
      <c r="L253" t="s">
        <v>77</v>
      </c>
      <c r="M253" t="s">
        <v>78</v>
      </c>
      <c r="N253" t="s">
        <v>161</v>
      </c>
      <c r="O253" t="s">
        <v>1343</v>
      </c>
      <c r="P253" t="s">
        <v>121</v>
      </c>
      <c r="X253">
        <v>56</v>
      </c>
      <c r="AF253" t="s">
        <v>1344</v>
      </c>
      <c r="AG253" t="s">
        <v>296</v>
      </c>
      <c r="AH253" t="s">
        <v>1344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8.4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865.2</v>
      </c>
      <c r="BE253">
        <v>0</v>
      </c>
      <c r="BF253">
        <v>2240</v>
      </c>
      <c r="BG253">
        <v>0</v>
      </c>
      <c r="BH253">
        <v>0</v>
      </c>
      <c r="BI253">
        <v>448</v>
      </c>
      <c r="BJ253">
        <v>0</v>
      </c>
      <c r="BK253">
        <v>0</v>
      </c>
      <c r="BL253">
        <v>0</v>
      </c>
      <c r="BM253">
        <v>0</v>
      </c>
      <c r="BN253">
        <v>3561.6</v>
      </c>
      <c r="BO253">
        <v>569.85</v>
      </c>
      <c r="BP253">
        <v>142.47</v>
      </c>
      <c r="BQ253">
        <f t="shared" si="3"/>
        <v>3988.98</v>
      </c>
      <c r="BR253" t="s">
        <v>83</v>
      </c>
    </row>
    <row r="254" spans="1:70">
      <c r="A254" t="s">
        <v>1345</v>
      </c>
      <c r="B254" t="s">
        <v>1346</v>
      </c>
      <c r="C254" t="s">
        <v>71</v>
      </c>
      <c r="D254" t="s">
        <v>289</v>
      </c>
      <c r="E254" t="s">
        <v>73</v>
      </c>
      <c r="F254" t="s">
        <v>74</v>
      </c>
      <c r="G254">
        <v>240868</v>
      </c>
      <c r="H254" t="s">
        <v>74</v>
      </c>
      <c r="I254" t="s">
        <v>75</v>
      </c>
      <c r="J254" t="s">
        <v>74</v>
      </c>
      <c r="K254" t="s">
        <v>1347</v>
      </c>
      <c r="L254" t="s">
        <v>77</v>
      </c>
      <c r="M254" t="s">
        <v>78</v>
      </c>
      <c r="N254" t="s">
        <v>586</v>
      </c>
      <c r="O254" t="s">
        <v>1348</v>
      </c>
      <c r="P254" t="s">
        <v>121</v>
      </c>
      <c r="X254">
        <v>23</v>
      </c>
      <c r="AF254" t="s">
        <v>428</v>
      </c>
      <c r="AG254" t="s">
        <v>296</v>
      </c>
      <c r="AH254" t="s">
        <v>428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3.45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1062.3699999999999</v>
      </c>
      <c r="BE254">
        <v>0</v>
      </c>
      <c r="BF254">
        <v>920</v>
      </c>
      <c r="BG254">
        <v>0</v>
      </c>
      <c r="BH254">
        <v>0</v>
      </c>
      <c r="BI254">
        <v>184</v>
      </c>
      <c r="BJ254">
        <v>0</v>
      </c>
      <c r="BK254">
        <v>0</v>
      </c>
      <c r="BL254">
        <v>0</v>
      </c>
      <c r="BM254">
        <v>0</v>
      </c>
      <c r="BN254">
        <v>2169.8200000000002</v>
      </c>
      <c r="BO254">
        <v>347.17</v>
      </c>
      <c r="BP254">
        <v>86.79</v>
      </c>
      <c r="BQ254">
        <f t="shared" si="3"/>
        <v>2430.2000000000003</v>
      </c>
      <c r="BR254" t="s">
        <v>586</v>
      </c>
    </row>
    <row r="255" spans="1:70">
      <c r="A255" t="s">
        <v>1349</v>
      </c>
      <c r="B255" t="s">
        <v>1350</v>
      </c>
      <c r="C255" t="s">
        <v>71</v>
      </c>
      <c r="D255" t="s">
        <v>289</v>
      </c>
      <c r="E255" t="s">
        <v>73</v>
      </c>
      <c r="F255" t="s">
        <v>74</v>
      </c>
      <c r="G255">
        <v>240867</v>
      </c>
      <c r="H255" t="s">
        <v>74</v>
      </c>
      <c r="I255" t="s">
        <v>75</v>
      </c>
      <c r="J255" t="s">
        <v>74</v>
      </c>
      <c r="K255" t="s">
        <v>1351</v>
      </c>
      <c r="L255" t="s">
        <v>77</v>
      </c>
      <c r="M255" t="s">
        <v>78</v>
      </c>
      <c r="N255" t="s">
        <v>1352</v>
      </c>
      <c r="O255" t="s">
        <v>1353</v>
      </c>
      <c r="P255" t="s">
        <v>121</v>
      </c>
      <c r="X255">
        <v>10</v>
      </c>
      <c r="AF255" t="s">
        <v>372</v>
      </c>
      <c r="AG255" t="s">
        <v>296</v>
      </c>
      <c r="AH255" t="s">
        <v>372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1.5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154.5</v>
      </c>
      <c r="BE255">
        <v>0</v>
      </c>
      <c r="BF255">
        <v>400</v>
      </c>
      <c r="BG255">
        <v>0</v>
      </c>
      <c r="BH255">
        <v>0</v>
      </c>
      <c r="BI255">
        <v>80</v>
      </c>
      <c r="BJ255">
        <v>0</v>
      </c>
      <c r="BK255">
        <v>0</v>
      </c>
      <c r="BL255">
        <v>0</v>
      </c>
      <c r="BM255">
        <v>0</v>
      </c>
      <c r="BN255">
        <v>636</v>
      </c>
      <c r="BO255">
        <v>101.76</v>
      </c>
      <c r="BP255">
        <v>25.44</v>
      </c>
      <c r="BQ255">
        <f t="shared" si="3"/>
        <v>712.31999999999994</v>
      </c>
      <c r="BR255" t="s">
        <v>119</v>
      </c>
    </row>
    <row r="256" spans="1:70">
      <c r="A256" t="s">
        <v>1354</v>
      </c>
      <c r="B256" t="s">
        <v>1355</v>
      </c>
      <c r="C256" t="s">
        <v>71</v>
      </c>
      <c r="D256" t="s">
        <v>289</v>
      </c>
      <c r="E256" t="s">
        <v>73</v>
      </c>
      <c r="F256" t="s">
        <v>74</v>
      </c>
      <c r="G256">
        <v>240861</v>
      </c>
      <c r="H256" t="s">
        <v>74</v>
      </c>
      <c r="I256" t="s">
        <v>75</v>
      </c>
      <c r="J256" t="s">
        <v>74</v>
      </c>
      <c r="K256" t="s">
        <v>1356</v>
      </c>
      <c r="L256" t="s">
        <v>77</v>
      </c>
      <c r="M256" t="s">
        <v>78</v>
      </c>
      <c r="N256" t="s">
        <v>964</v>
      </c>
      <c r="O256" t="s">
        <v>1357</v>
      </c>
      <c r="P256" t="s">
        <v>121</v>
      </c>
      <c r="X256">
        <v>21</v>
      </c>
      <c r="AF256" t="s">
        <v>684</v>
      </c>
      <c r="AG256" t="s">
        <v>296</v>
      </c>
      <c r="AH256" t="s">
        <v>684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3.15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969.99</v>
      </c>
      <c r="BE256">
        <v>0</v>
      </c>
      <c r="BF256">
        <v>840</v>
      </c>
      <c r="BG256">
        <v>0</v>
      </c>
      <c r="BH256">
        <v>0</v>
      </c>
      <c r="BI256">
        <v>168</v>
      </c>
      <c r="BJ256">
        <v>0</v>
      </c>
      <c r="BK256">
        <v>0</v>
      </c>
      <c r="BL256">
        <v>0</v>
      </c>
      <c r="BM256">
        <v>0</v>
      </c>
      <c r="BN256">
        <v>1981.14</v>
      </c>
      <c r="BO256">
        <v>316.98</v>
      </c>
      <c r="BP256">
        <v>79.25</v>
      </c>
      <c r="BQ256">
        <f t="shared" si="3"/>
        <v>2218.87</v>
      </c>
      <c r="BR256" t="s">
        <v>964</v>
      </c>
    </row>
    <row r="257" spans="1:70">
      <c r="A257" t="s">
        <v>1358</v>
      </c>
      <c r="B257" t="s">
        <v>1359</v>
      </c>
      <c r="C257" t="s">
        <v>71</v>
      </c>
      <c r="D257" t="s">
        <v>289</v>
      </c>
      <c r="E257" t="s">
        <v>73</v>
      </c>
      <c r="F257" t="s">
        <v>74</v>
      </c>
      <c r="G257">
        <v>240930</v>
      </c>
      <c r="H257" t="s">
        <v>74</v>
      </c>
      <c r="I257" t="s">
        <v>75</v>
      </c>
      <c r="J257" t="s">
        <v>74</v>
      </c>
      <c r="K257" t="s">
        <v>1360</v>
      </c>
      <c r="L257" t="s">
        <v>77</v>
      </c>
      <c r="M257" t="s">
        <v>78</v>
      </c>
      <c r="N257" t="s">
        <v>1101</v>
      </c>
      <c r="O257" t="s">
        <v>1361</v>
      </c>
      <c r="P257" t="s">
        <v>121</v>
      </c>
      <c r="X257">
        <v>6</v>
      </c>
      <c r="AF257" t="s">
        <v>400</v>
      </c>
      <c r="AG257" t="s">
        <v>296</v>
      </c>
      <c r="AH257" t="s">
        <v>400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0.9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277.14</v>
      </c>
      <c r="BE257">
        <v>0</v>
      </c>
      <c r="BF257">
        <v>240</v>
      </c>
      <c r="BG257">
        <v>0</v>
      </c>
      <c r="BH257">
        <v>0</v>
      </c>
      <c r="BI257">
        <v>48</v>
      </c>
      <c r="BJ257">
        <v>0</v>
      </c>
      <c r="BK257">
        <v>0</v>
      </c>
      <c r="BL257">
        <v>0</v>
      </c>
      <c r="BM257">
        <v>0</v>
      </c>
      <c r="BN257">
        <v>566.04</v>
      </c>
      <c r="BO257">
        <v>90.56</v>
      </c>
      <c r="BP257">
        <v>22.65</v>
      </c>
      <c r="BQ257">
        <f t="shared" si="3"/>
        <v>633.94999999999993</v>
      </c>
      <c r="BR257" t="s">
        <v>1101</v>
      </c>
    </row>
    <row r="258" spans="1:70">
      <c r="A258" t="s">
        <v>1362</v>
      </c>
      <c r="B258" t="s">
        <v>1363</v>
      </c>
      <c r="C258" t="s">
        <v>71</v>
      </c>
      <c r="D258" t="s">
        <v>289</v>
      </c>
      <c r="E258" t="s">
        <v>73</v>
      </c>
      <c r="F258" t="s">
        <v>74</v>
      </c>
      <c r="G258">
        <v>240929</v>
      </c>
      <c r="H258" t="s">
        <v>74</v>
      </c>
      <c r="I258" t="s">
        <v>75</v>
      </c>
      <c r="K258" t="s">
        <v>1364</v>
      </c>
      <c r="L258" t="s">
        <v>77</v>
      </c>
      <c r="M258" t="s">
        <v>78</v>
      </c>
      <c r="N258" t="s">
        <v>161</v>
      </c>
      <c r="O258" t="s">
        <v>1365</v>
      </c>
      <c r="P258" t="s">
        <v>121</v>
      </c>
      <c r="X258">
        <v>10</v>
      </c>
      <c r="AF258" t="s">
        <v>372</v>
      </c>
      <c r="AG258" t="s">
        <v>296</v>
      </c>
      <c r="AH258" t="s">
        <v>372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1.5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154.5</v>
      </c>
      <c r="BE258">
        <v>0</v>
      </c>
      <c r="BF258">
        <v>400</v>
      </c>
      <c r="BG258">
        <v>0</v>
      </c>
      <c r="BH258">
        <v>0</v>
      </c>
      <c r="BI258">
        <v>80</v>
      </c>
      <c r="BJ258">
        <v>0</v>
      </c>
      <c r="BK258">
        <v>0</v>
      </c>
      <c r="BL258">
        <v>0</v>
      </c>
      <c r="BM258">
        <v>0</v>
      </c>
      <c r="BN258">
        <v>636</v>
      </c>
      <c r="BO258">
        <v>101.76</v>
      </c>
      <c r="BP258">
        <v>25.44</v>
      </c>
      <c r="BQ258">
        <f t="shared" ref="BQ258:BQ321" si="4">(BN258+BO258-BP258)</f>
        <v>712.31999999999994</v>
      </c>
      <c r="BR258" t="s">
        <v>83</v>
      </c>
    </row>
    <row r="259" spans="1:70">
      <c r="A259" t="s">
        <v>1366</v>
      </c>
      <c r="B259" t="s">
        <v>1367</v>
      </c>
      <c r="C259" t="s">
        <v>71</v>
      </c>
      <c r="D259" t="s">
        <v>289</v>
      </c>
      <c r="E259" t="s">
        <v>73</v>
      </c>
      <c r="F259" t="s">
        <v>74</v>
      </c>
      <c r="G259">
        <v>240927</v>
      </c>
      <c r="H259" t="s">
        <v>74</v>
      </c>
      <c r="I259" t="s">
        <v>75</v>
      </c>
      <c r="J259" t="s">
        <v>74</v>
      </c>
      <c r="K259" t="s">
        <v>1368</v>
      </c>
      <c r="L259" t="s">
        <v>77</v>
      </c>
      <c r="M259" t="s">
        <v>78</v>
      </c>
      <c r="N259" t="s">
        <v>365</v>
      </c>
      <c r="O259" t="s">
        <v>1369</v>
      </c>
      <c r="P259" t="s">
        <v>121</v>
      </c>
      <c r="Z259">
        <v>2</v>
      </c>
      <c r="AF259" t="s">
        <v>339</v>
      </c>
      <c r="AG259" t="s">
        <v>296</v>
      </c>
      <c r="AH259" t="s">
        <v>339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0.3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327.7</v>
      </c>
      <c r="BE259">
        <v>0</v>
      </c>
      <c r="BF259">
        <v>80</v>
      </c>
      <c r="BG259">
        <v>0</v>
      </c>
      <c r="BH259">
        <v>0</v>
      </c>
      <c r="BI259">
        <v>16</v>
      </c>
      <c r="BJ259">
        <v>0</v>
      </c>
      <c r="BK259">
        <v>0</v>
      </c>
      <c r="BL259">
        <v>0</v>
      </c>
      <c r="BM259">
        <v>0</v>
      </c>
      <c r="BN259">
        <v>424</v>
      </c>
      <c r="BO259">
        <v>67.84</v>
      </c>
      <c r="BP259">
        <v>16.96</v>
      </c>
      <c r="BQ259">
        <f t="shared" si="4"/>
        <v>474.88000000000005</v>
      </c>
      <c r="BR259" t="s">
        <v>365</v>
      </c>
    </row>
    <row r="260" spans="1:70">
      <c r="A260" t="s">
        <v>1370</v>
      </c>
      <c r="B260" t="s">
        <v>1371</v>
      </c>
      <c r="C260" t="s">
        <v>71</v>
      </c>
      <c r="D260" t="s">
        <v>289</v>
      </c>
      <c r="E260" t="s">
        <v>73</v>
      </c>
      <c r="F260" t="s">
        <v>74</v>
      </c>
      <c r="G260">
        <v>240924</v>
      </c>
      <c r="H260" t="s">
        <v>74</v>
      </c>
      <c r="I260" t="s">
        <v>75</v>
      </c>
      <c r="J260" t="s">
        <v>74</v>
      </c>
      <c r="K260" t="s">
        <v>1372</v>
      </c>
      <c r="L260" t="s">
        <v>77</v>
      </c>
      <c r="M260" t="s">
        <v>78</v>
      </c>
      <c r="N260" t="s">
        <v>637</v>
      </c>
      <c r="O260" t="s">
        <v>1373</v>
      </c>
      <c r="P260" t="s">
        <v>121</v>
      </c>
      <c r="X260">
        <v>20</v>
      </c>
      <c r="AF260" t="s">
        <v>384</v>
      </c>
      <c r="AG260" t="s">
        <v>296</v>
      </c>
      <c r="AH260" t="s">
        <v>384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3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923.8</v>
      </c>
      <c r="BE260">
        <v>0</v>
      </c>
      <c r="BF260">
        <v>800</v>
      </c>
      <c r="BG260">
        <v>0</v>
      </c>
      <c r="BH260">
        <v>0</v>
      </c>
      <c r="BI260">
        <v>160</v>
      </c>
      <c r="BJ260">
        <v>0</v>
      </c>
      <c r="BK260">
        <v>0</v>
      </c>
      <c r="BL260">
        <v>0</v>
      </c>
      <c r="BM260">
        <v>0</v>
      </c>
      <c r="BN260">
        <v>1886.8</v>
      </c>
      <c r="BO260">
        <v>301.89</v>
      </c>
      <c r="BP260">
        <v>75.47</v>
      </c>
      <c r="BQ260">
        <f t="shared" si="4"/>
        <v>2113.2200000000003</v>
      </c>
      <c r="BR260" t="s">
        <v>639</v>
      </c>
    </row>
    <row r="261" spans="1:70">
      <c r="A261" t="s">
        <v>1374</v>
      </c>
      <c r="B261" t="s">
        <v>1375</v>
      </c>
      <c r="C261" t="s">
        <v>71</v>
      </c>
      <c r="D261" t="s">
        <v>289</v>
      </c>
      <c r="E261" t="s">
        <v>73</v>
      </c>
      <c r="F261" t="s">
        <v>74</v>
      </c>
      <c r="G261">
        <v>240922</v>
      </c>
      <c r="H261" t="s">
        <v>74</v>
      </c>
      <c r="I261" t="s">
        <v>75</v>
      </c>
      <c r="K261" t="s">
        <v>1376</v>
      </c>
      <c r="L261" t="s">
        <v>77</v>
      </c>
      <c r="M261" t="s">
        <v>78</v>
      </c>
      <c r="N261" t="s">
        <v>438</v>
      </c>
      <c r="O261" t="s">
        <v>1377</v>
      </c>
      <c r="P261" t="s">
        <v>121</v>
      </c>
      <c r="V261">
        <v>1</v>
      </c>
      <c r="AF261" t="s">
        <v>295</v>
      </c>
      <c r="AG261" t="s">
        <v>296</v>
      </c>
      <c r="AH261" t="s">
        <v>295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0.15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375.85</v>
      </c>
      <c r="BE261">
        <v>0</v>
      </c>
      <c r="BF261">
        <v>40</v>
      </c>
      <c r="BG261">
        <v>0</v>
      </c>
      <c r="BH261">
        <v>0</v>
      </c>
      <c r="BI261">
        <v>8</v>
      </c>
      <c r="BJ261">
        <v>0</v>
      </c>
      <c r="BK261">
        <v>0</v>
      </c>
      <c r="BL261">
        <v>0</v>
      </c>
      <c r="BM261">
        <v>0</v>
      </c>
      <c r="BN261">
        <v>424</v>
      </c>
      <c r="BO261">
        <v>67.84</v>
      </c>
      <c r="BP261">
        <v>16.96</v>
      </c>
      <c r="BQ261">
        <f t="shared" si="4"/>
        <v>474.88000000000005</v>
      </c>
      <c r="BR261" t="s">
        <v>440</v>
      </c>
    </row>
    <row r="262" spans="1:70">
      <c r="A262" t="s">
        <v>1378</v>
      </c>
      <c r="B262" t="s">
        <v>1379</v>
      </c>
      <c r="C262" t="s">
        <v>71</v>
      </c>
      <c r="D262" t="s">
        <v>289</v>
      </c>
      <c r="E262" t="s">
        <v>73</v>
      </c>
      <c r="F262" t="s">
        <v>74</v>
      </c>
      <c r="G262">
        <v>240914</v>
      </c>
      <c r="H262" t="s">
        <v>74</v>
      </c>
      <c r="I262" t="s">
        <v>75</v>
      </c>
      <c r="J262" t="s">
        <v>74</v>
      </c>
      <c r="K262" t="s">
        <v>1380</v>
      </c>
      <c r="L262" t="s">
        <v>77</v>
      </c>
      <c r="M262" t="s">
        <v>78</v>
      </c>
      <c r="N262" t="s">
        <v>1381</v>
      </c>
      <c r="O262" t="s">
        <v>1382</v>
      </c>
      <c r="P262" t="s">
        <v>121</v>
      </c>
      <c r="AB262">
        <v>3</v>
      </c>
      <c r="AF262" t="s">
        <v>314</v>
      </c>
      <c r="AG262" t="s">
        <v>296</v>
      </c>
      <c r="AH262" t="s">
        <v>314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0.45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279.54000000000002</v>
      </c>
      <c r="BE262">
        <v>0</v>
      </c>
      <c r="BF262">
        <v>120</v>
      </c>
      <c r="BG262">
        <v>0</v>
      </c>
      <c r="BH262">
        <v>0</v>
      </c>
      <c r="BI262">
        <v>24</v>
      </c>
      <c r="BJ262">
        <v>0</v>
      </c>
      <c r="BK262">
        <v>0</v>
      </c>
      <c r="BL262">
        <v>0</v>
      </c>
      <c r="BM262">
        <v>0</v>
      </c>
      <c r="BN262">
        <v>423.99</v>
      </c>
      <c r="BO262">
        <v>67.84</v>
      </c>
      <c r="BP262">
        <v>16.96</v>
      </c>
      <c r="BQ262">
        <f t="shared" si="4"/>
        <v>474.87000000000006</v>
      </c>
      <c r="BR262" t="s">
        <v>83</v>
      </c>
    </row>
    <row r="263" spans="1:70">
      <c r="A263" t="s">
        <v>1383</v>
      </c>
      <c r="B263" t="s">
        <v>1384</v>
      </c>
      <c r="C263" t="s">
        <v>71</v>
      </c>
      <c r="D263" t="s">
        <v>289</v>
      </c>
      <c r="E263" t="s">
        <v>73</v>
      </c>
      <c r="F263" t="s">
        <v>74</v>
      </c>
      <c r="G263" t="s">
        <v>1385</v>
      </c>
      <c r="H263" t="s">
        <v>74</v>
      </c>
      <c r="I263" t="s">
        <v>75</v>
      </c>
      <c r="J263" t="s">
        <v>74</v>
      </c>
      <c r="K263" t="s">
        <v>1386</v>
      </c>
      <c r="L263" t="s">
        <v>77</v>
      </c>
      <c r="M263" t="s">
        <v>78</v>
      </c>
      <c r="N263" t="s">
        <v>832</v>
      </c>
      <c r="O263" t="s">
        <v>1387</v>
      </c>
      <c r="P263" t="s">
        <v>121</v>
      </c>
      <c r="X263">
        <v>5</v>
      </c>
      <c r="AF263" t="s">
        <v>333</v>
      </c>
      <c r="AG263" t="s">
        <v>296</v>
      </c>
      <c r="AH263" t="s">
        <v>333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0.75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77.25</v>
      </c>
      <c r="BE263">
        <v>0</v>
      </c>
      <c r="BF263">
        <v>200</v>
      </c>
      <c r="BG263">
        <v>0</v>
      </c>
      <c r="BH263">
        <v>0</v>
      </c>
      <c r="BI263">
        <v>40</v>
      </c>
      <c r="BJ263">
        <v>0</v>
      </c>
      <c r="BK263">
        <v>0</v>
      </c>
      <c r="BL263">
        <v>0</v>
      </c>
      <c r="BM263">
        <v>0</v>
      </c>
      <c r="BN263">
        <v>318</v>
      </c>
      <c r="BO263">
        <v>50.88</v>
      </c>
      <c r="BP263">
        <v>12.72</v>
      </c>
      <c r="BQ263">
        <f t="shared" si="4"/>
        <v>356.15999999999997</v>
      </c>
      <c r="BR263" t="s">
        <v>832</v>
      </c>
    </row>
    <row r="264" spans="1:70">
      <c r="A264" t="s">
        <v>1388</v>
      </c>
      <c r="B264" t="s">
        <v>1389</v>
      </c>
      <c r="C264" t="s">
        <v>71</v>
      </c>
      <c r="D264" t="s">
        <v>289</v>
      </c>
      <c r="E264" t="s">
        <v>73</v>
      </c>
      <c r="F264" t="s">
        <v>74</v>
      </c>
      <c r="G264">
        <v>240909</v>
      </c>
      <c r="H264" t="s">
        <v>74</v>
      </c>
      <c r="I264" t="s">
        <v>75</v>
      </c>
      <c r="K264" t="s">
        <v>1390</v>
      </c>
      <c r="L264" t="s">
        <v>77</v>
      </c>
      <c r="M264" t="s">
        <v>78</v>
      </c>
      <c r="N264" t="s">
        <v>137</v>
      </c>
      <c r="O264" t="s">
        <v>1391</v>
      </c>
      <c r="P264" t="s">
        <v>121</v>
      </c>
      <c r="X264">
        <v>13</v>
      </c>
      <c r="AF264" t="s">
        <v>434</v>
      </c>
      <c r="AG264" t="s">
        <v>296</v>
      </c>
      <c r="AH264" t="s">
        <v>434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1.95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600.47</v>
      </c>
      <c r="BE264">
        <v>0</v>
      </c>
      <c r="BF264">
        <v>520</v>
      </c>
      <c r="BG264">
        <v>0</v>
      </c>
      <c r="BH264">
        <v>0</v>
      </c>
      <c r="BI264">
        <v>104</v>
      </c>
      <c r="BJ264">
        <v>0</v>
      </c>
      <c r="BK264">
        <v>0</v>
      </c>
      <c r="BL264">
        <v>0</v>
      </c>
      <c r="BM264">
        <v>0</v>
      </c>
      <c r="BN264">
        <v>1226.42</v>
      </c>
      <c r="BO264">
        <v>196.23</v>
      </c>
      <c r="BP264">
        <v>49.06</v>
      </c>
      <c r="BQ264">
        <f t="shared" si="4"/>
        <v>1373.5900000000001</v>
      </c>
      <c r="BR264" t="s">
        <v>141</v>
      </c>
    </row>
    <row r="265" spans="1:70">
      <c r="A265" t="s">
        <v>1392</v>
      </c>
      <c r="B265" t="s">
        <v>1393</v>
      </c>
      <c r="C265" t="s">
        <v>71</v>
      </c>
      <c r="D265" t="s">
        <v>289</v>
      </c>
      <c r="E265" t="s">
        <v>73</v>
      </c>
      <c r="F265" t="s">
        <v>74</v>
      </c>
      <c r="G265">
        <v>240907</v>
      </c>
      <c r="H265" t="s">
        <v>74</v>
      </c>
      <c r="I265" t="s">
        <v>75</v>
      </c>
      <c r="J265" t="s">
        <v>74</v>
      </c>
      <c r="K265" t="s">
        <v>1394</v>
      </c>
      <c r="L265" t="s">
        <v>77</v>
      </c>
      <c r="M265" t="s">
        <v>78</v>
      </c>
      <c r="N265" t="s">
        <v>365</v>
      </c>
      <c r="O265" t="s">
        <v>1395</v>
      </c>
      <c r="P265" t="s">
        <v>121</v>
      </c>
      <c r="X265">
        <v>13</v>
      </c>
      <c r="AF265" t="s">
        <v>434</v>
      </c>
      <c r="AG265" t="s">
        <v>296</v>
      </c>
      <c r="AH265" t="s">
        <v>434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1.95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200.85</v>
      </c>
      <c r="BE265">
        <v>0</v>
      </c>
      <c r="BF265">
        <v>520</v>
      </c>
      <c r="BG265">
        <v>0</v>
      </c>
      <c r="BH265">
        <v>0</v>
      </c>
      <c r="BI265">
        <v>104</v>
      </c>
      <c r="BJ265">
        <v>0</v>
      </c>
      <c r="BK265">
        <v>0</v>
      </c>
      <c r="BL265">
        <v>0</v>
      </c>
      <c r="BM265">
        <v>0</v>
      </c>
      <c r="BN265">
        <v>826.8</v>
      </c>
      <c r="BO265">
        <v>132.29</v>
      </c>
      <c r="BP265">
        <v>33.07</v>
      </c>
      <c r="BQ265">
        <f t="shared" si="4"/>
        <v>926.01999999999987</v>
      </c>
      <c r="BR265" t="s">
        <v>365</v>
      </c>
    </row>
    <row r="266" spans="1:70">
      <c r="A266" t="s">
        <v>1396</v>
      </c>
      <c r="B266" t="s">
        <v>1397</v>
      </c>
      <c r="C266" t="s">
        <v>71</v>
      </c>
      <c r="D266" t="s">
        <v>289</v>
      </c>
      <c r="E266" t="s">
        <v>73</v>
      </c>
      <c r="F266" t="s">
        <v>74</v>
      </c>
      <c r="G266">
        <v>218750</v>
      </c>
      <c r="H266" t="s">
        <v>74</v>
      </c>
      <c r="I266" t="s">
        <v>75</v>
      </c>
      <c r="J266" t="s">
        <v>74</v>
      </c>
      <c r="K266" t="s">
        <v>1398</v>
      </c>
      <c r="L266" t="s">
        <v>77</v>
      </c>
      <c r="M266" t="s">
        <v>78</v>
      </c>
      <c r="N266" t="s">
        <v>175</v>
      </c>
      <c r="O266" t="s">
        <v>1399</v>
      </c>
      <c r="P266" t="s">
        <v>121</v>
      </c>
      <c r="T266">
        <v>1</v>
      </c>
      <c r="AF266" t="s">
        <v>823</v>
      </c>
      <c r="AG266" t="s">
        <v>296</v>
      </c>
      <c r="AH266" t="s">
        <v>823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36.46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2293.8200000000002</v>
      </c>
      <c r="BE266">
        <v>0</v>
      </c>
      <c r="BF266">
        <v>458.08</v>
      </c>
      <c r="BG266">
        <v>0</v>
      </c>
      <c r="BH266">
        <v>0</v>
      </c>
      <c r="BI266">
        <v>421.62</v>
      </c>
      <c r="BJ266">
        <v>0</v>
      </c>
      <c r="BK266">
        <v>0</v>
      </c>
      <c r="BL266">
        <v>0</v>
      </c>
      <c r="BM266">
        <v>0</v>
      </c>
      <c r="BN266">
        <v>3209.98</v>
      </c>
      <c r="BO266">
        <v>513.59</v>
      </c>
      <c r="BP266">
        <v>128.38999999999999</v>
      </c>
      <c r="BQ266">
        <f t="shared" si="4"/>
        <v>3595.1800000000003</v>
      </c>
      <c r="BR266" t="s">
        <v>175</v>
      </c>
    </row>
    <row r="267" spans="1:70">
      <c r="A267" t="s">
        <v>1400</v>
      </c>
      <c r="B267" t="s">
        <v>1401</v>
      </c>
      <c r="C267" t="s">
        <v>71</v>
      </c>
      <c r="D267" t="s">
        <v>289</v>
      </c>
      <c r="E267" t="s">
        <v>73</v>
      </c>
      <c r="F267" t="s">
        <v>74</v>
      </c>
      <c r="G267">
        <v>240877</v>
      </c>
      <c r="H267" t="s">
        <v>74</v>
      </c>
      <c r="I267" t="s">
        <v>75</v>
      </c>
      <c r="J267" t="s">
        <v>74</v>
      </c>
      <c r="K267" t="s">
        <v>1402</v>
      </c>
      <c r="L267" t="s">
        <v>77</v>
      </c>
      <c r="M267" t="s">
        <v>78</v>
      </c>
      <c r="N267" t="s">
        <v>950</v>
      </c>
      <c r="O267" t="s">
        <v>1403</v>
      </c>
      <c r="P267" t="s">
        <v>121</v>
      </c>
      <c r="X267">
        <v>5</v>
      </c>
      <c r="AF267" t="s">
        <v>333</v>
      </c>
      <c r="AG267" t="s">
        <v>296</v>
      </c>
      <c r="AH267" t="s">
        <v>333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0.75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77.25</v>
      </c>
      <c r="BE267">
        <v>0</v>
      </c>
      <c r="BF267">
        <v>200</v>
      </c>
      <c r="BG267">
        <v>0</v>
      </c>
      <c r="BH267">
        <v>0</v>
      </c>
      <c r="BI267">
        <v>40</v>
      </c>
      <c r="BJ267">
        <v>0</v>
      </c>
      <c r="BK267">
        <v>0</v>
      </c>
      <c r="BL267">
        <v>0</v>
      </c>
      <c r="BM267">
        <v>0</v>
      </c>
      <c r="BN267">
        <v>318</v>
      </c>
      <c r="BO267">
        <v>50.88</v>
      </c>
      <c r="BP267">
        <v>12.72</v>
      </c>
      <c r="BQ267">
        <f t="shared" si="4"/>
        <v>356.15999999999997</v>
      </c>
      <c r="BR267" t="s">
        <v>950</v>
      </c>
    </row>
    <row r="268" spans="1:70">
      <c r="A268" t="s">
        <v>1404</v>
      </c>
      <c r="B268" t="s">
        <v>1405</v>
      </c>
      <c r="C268" t="s">
        <v>71</v>
      </c>
      <c r="D268" t="s">
        <v>289</v>
      </c>
      <c r="E268" t="s">
        <v>73</v>
      </c>
      <c r="F268" t="s">
        <v>74</v>
      </c>
      <c r="G268">
        <v>240931</v>
      </c>
      <c r="H268" t="s">
        <v>74</v>
      </c>
      <c r="I268" t="s">
        <v>75</v>
      </c>
      <c r="J268" t="s">
        <v>74</v>
      </c>
      <c r="K268" t="s">
        <v>1406</v>
      </c>
      <c r="L268" t="s">
        <v>77</v>
      </c>
      <c r="M268" t="s">
        <v>78</v>
      </c>
      <c r="N268" t="s">
        <v>558</v>
      </c>
      <c r="O268" t="s">
        <v>1407</v>
      </c>
      <c r="P268" t="s">
        <v>121</v>
      </c>
      <c r="X268">
        <v>14</v>
      </c>
      <c r="AF268" t="s">
        <v>413</v>
      </c>
      <c r="AG268" t="s">
        <v>296</v>
      </c>
      <c r="AH268" t="s">
        <v>413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2.1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646.66</v>
      </c>
      <c r="BE268">
        <v>0</v>
      </c>
      <c r="BF268">
        <v>560</v>
      </c>
      <c r="BG268">
        <v>0</v>
      </c>
      <c r="BH268">
        <v>0</v>
      </c>
      <c r="BI268">
        <v>112</v>
      </c>
      <c r="BJ268">
        <v>0</v>
      </c>
      <c r="BK268">
        <v>0</v>
      </c>
      <c r="BL268">
        <v>0</v>
      </c>
      <c r="BM268">
        <v>0</v>
      </c>
      <c r="BN268">
        <v>1320.76</v>
      </c>
      <c r="BO268">
        <v>211.33</v>
      </c>
      <c r="BP268">
        <v>52.83</v>
      </c>
      <c r="BQ268">
        <f t="shared" si="4"/>
        <v>1479.26</v>
      </c>
      <c r="BR268" t="s">
        <v>560</v>
      </c>
    </row>
    <row r="269" spans="1:70">
      <c r="A269" t="s">
        <v>1408</v>
      </c>
      <c r="B269" t="s">
        <v>1409</v>
      </c>
      <c r="C269" t="s">
        <v>71</v>
      </c>
      <c r="D269" t="s">
        <v>289</v>
      </c>
      <c r="E269" t="s">
        <v>73</v>
      </c>
      <c r="F269" t="s">
        <v>74</v>
      </c>
      <c r="G269">
        <v>240882</v>
      </c>
      <c r="H269" t="s">
        <v>74</v>
      </c>
      <c r="I269" t="s">
        <v>75</v>
      </c>
      <c r="J269" t="s">
        <v>74</v>
      </c>
      <c r="K269" t="s">
        <v>1410</v>
      </c>
      <c r="L269" t="s">
        <v>77</v>
      </c>
      <c r="M269" t="s">
        <v>78</v>
      </c>
      <c r="N269" t="s">
        <v>614</v>
      </c>
      <c r="O269" t="s">
        <v>615</v>
      </c>
      <c r="P269" t="s">
        <v>121</v>
      </c>
      <c r="X269">
        <v>18</v>
      </c>
      <c r="AF269" t="s">
        <v>395</v>
      </c>
      <c r="AG269" t="s">
        <v>296</v>
      </c>
      <c r="AH269" t="s">
        <v>395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2.7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831.42</v>
      </c>
      <c r="BE269">
        <v>0</v>
      </c>
      <c r="BF269">
        <v>720</v>
      </c>
      <c r="BG269">
        <v>0</v>
      </c>
      <c r="BH269">
        <v>0</v>
      </c>
      <c r="BI269">
        <v>144</v>
      </c>
      <c r="BJ269">
        <v>0</v>
      </c>
      <c r="BK269">
        <v>0</v>
      </c>
      <c r="BL269">
        <v>0</v>
      </c>
      <c r="BM269">
        <v>0</v>
      </c>
      <c r="BN269">
        <v>1698.12</v>
      </c>
      <c r="BO269">
        <v>271.7</v>
      </c>
      <c r="BP269">
        <v>67.930000000000007</v>
      </c>
      <c r="BQ269">
        <f t="shared" si="4"/>
        <v>1901.8899999999999</v>
      </c>
      <c r="BR269" t="s">
        <v>616</v>
      </c>
    </row>
    <row r="270" spans="1:70">
      <c r="A270" t="s">
        <v>1411</v>
      </c>
      <c r="B270" t="s">
        <v>1412</v>
      </c>
      <c r="C270" t="s">
        <v>71</v>
      </c>
      <c r="D270" t="s">
        <v>289</v>
      </c>
      <c r="E270" t="s">
        <v>73</v>
      </c>
      <c r="F270" t="s">
        <v>74</v>
      </c>
      <c r="G270" t="s">
        <v>1413</v>
      </c>
      <c r="H270" t="s">
        <v>74</v>
      </c>
      <c r="I270" t="s">
        <v>75</v>
      </c>
      <c r="J270" t="s">
        <v>74</v>
      </c>
      <c r="K270" t="s">
        <v>1414</v>
      </c>
      <c r="L270" t="s">
        <v>77</v>
      </c>
      <c r="M270" t="s">
        <v>78</v>
      </c>
      <c r="N270" t="s">
        <v>499</v>
      </c>
      <c r="O270" t="s">
        <v>1415</v>
      </c>
      <c r="P270" t="s">
        <v>121</v>
      </c>
      <c r="X270">
        <v>31</v>
      </c>
      <c r="AF270" t="s">
        <v>1059</v>
      </c>
      <c r="AG270" t="s">
        <v>296</v>
      </c>
      <c r="AH270" t="s">
        <v>1059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4.6500000000000004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1431.89</v>
      </c>
      <c r="BE270">
        <v>0</v>
      </c>
      <c r="BF270">
        <v>1240</v>
      </c>
      <c r="BG270">
        <v>0</v>
      </c>
      <c r="BH270">
        <v>0</v>
      </c>
      <c r="BI270">
        <v>248</v>
      </c>
      <c r="BJ270">
        <v>0</v>
      </c>
      <c r="BK270">
        <v>0</v>
      </c>
      <c r="BL270">
        <v>0</v>
      </c>
      <c r="BM270">
        <v>0</v>
      </c>
      <c r="BN270">
        <v>2924.54</v>
      </c>
      <c r="BO270">
        <v>467.92</v>
      </c>
      <c r="BP270">
        <v>116.99</v>
      </c>
      <c r="BQ270">
        <f t="shared" si="4"/>
        <v>3275.4700000000003</v>
      </c>
      <c r="BR270" t="s">
        <v>501</v>
      </c>
    </row>
    <row r="271" spans="1:70">
      <c r="A271" t="s">
        <v>1416</v>
      </c>
      <c r="B271" t="s">
        <v>1417</v>
      </c>
      <c r="C271" t="s">
        <v>71</v>
      </c>
      <c r="D271" t="s">
        <v>289</v>
      </c>
      <c r="E271" t="s">
        <v>73</v>
      </c>
      <c r="F271" t="s">
        <v>74</v>
      </c>
      <c r="G271">
        <v>240938</v>
      </c>
      <c r="H271" t="s">
        <v>74</v>
      </c>
      <c r="I271" t="s">
        <v>75</v>
      </c>
      <c r="J271" t="s">
        <v>74</v>
      </c>
      <c r="K271" t="s">
        <v>1418</v>
      </c>
      <c r="L271" t="s">
        <v>77</v>
      </c>
      <c r="M271" t="s">
        <v>78</v>
      </c>
      <c r="N271" t="s">
        <v>349</v>
      </c>
      <c r="O271" t="s">
        <v>350</v>
      </c>
      <c r="P271" t="s">
        <v>1419</v>
      </c>
      <c r="X271">
        <v>9</v>
      </c>
      <c r="AF271" t="s">
        <v>407</v>
      </c>
      <c r="AG271" t="s">
        <v>296</v>
      </c>
      <c r="AH271" t="s">
        <v>407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1.35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415.71</v>
      </c>
      <c r="BE271">
        <v>0</v>
      </c>
      <c r="BF271">
        <v>360</v>
      </c>
      <c r="BG271">
        <v>0</v>
      </c>
      <c r="BH271">
        <v>0</v>
      </c>
      <c r="BI271">
        <v>72</v>
      </c>
      <c r="BJ271">
        <v>0</v>
      </c>
      <c r="BK271">
        <v>0</v>
      </c>
      <c r="BL271">
        <v>0</v>
      </c>
      <c r="BM271">
        <v>0</v>
      </c>
      <c r="BN271">
        <v>849.06</v>
      </c>
      <c r="BO271">
        <v>135.85</v>
      </c>
      <c r="BP271">
        <v>33.96</v>
      </c>
      <c r="BQ271">
        <f t="shared" si="4"/>
        <v>950.94999999999993</v>
      </c>
      <c r="BR271" t="s">
        <v>349</v>
      </c>
    </row>
    <row r="272" spans="1:70">
      <c r="A272" t="s">
        <v>1420</v>
      </c>
      <c r="B272" t="s">
        <v>1421</v>
      </c>
      <c r="C272" t="s">
        <v>71</v>
      </c>
      <c r="D272" t="s">
        <v>289</v>
      </c>
      <c r="E272" t="s">
        <v>73</v>
      </c>
      <c r="F272" t="s">
        <v>74</v>
      </c>
      <c r="G272">
        <v>240933</v>
      </c>
      <c r="H272" t="s">
        <v>74</v>
      </c>
      <c r="I272" t="s">
        <v>75</v>
      </c>
      <c r="J272" t="s">
        <v>74</v>
      </c>
      <c r="K272" t="s">
        <v>1422</v>
      </c>
      <c r="L272" t="s">
        <v>77</v>
      </c>
      <c r="M272" t="s">
        <v>78</v>
      </c>
      <c r="N272" t="s">
        <v>119</v>
      </c>
      <c r="O272" t="s">
        <v>1423</v>
      </c>
      <c r="P272" t="s">
        <v>1419</v>
      </c>
      <c r="AD272">
        <v>4</v>
      </c>
      <c r="AF272" t="s">
        <v>326</v>
      </c>
      <c r="AG272" t="s">
        <v>296</v>
      </c>
      <c r="AH272" t="s">
        <v>326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0.6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231.4</v>
      </c>
      <c r="BE272">
        <v>0</v>
      </c>
      <c r="BF272">
        <v>160</v>
      </c>
      <c r="BG272">
        <v>0</v>
      </c>
      <c r="BH272">
        <v>0</v>
      </c>
      <c r="BI272">
        <v>32</v>
      </c>
      <c r="BJ272">
        <v>0</v>
      </c>
      <c r="BK272">
        <v>0</v>
      </c>
      <c r="BL272">
        <v>0</v>
      </c>
      <c r="BM272">
        <v>0</v>
      </c>
      <c r="BN272">
        <v>424</v>
      </c>
      <c r="BO272">
        <v>67.84</v>
      </c>
      <c r="BP272">
        <v>16.96</v>
      </c>
      <c r="BQ272">
        <f t="shared" si="4"/>
        <v>474.88000000000005</v>
      </c>
      <c r="BR272" t="s">
        <v>119</v>
      </c>
    </row>
    <row r="273" spans="1:70">
      <c r="A273" t="s">
        <v>1424</v>
      </c>
      <c r="B273" t="s">
        <v>1425</v>
      </c>
      <c r="C273" t="s">
        <v>71</v>
      </c>
      <c r="D273" t="s">
        <v>289</v>
      </c>
      <c r="E273" t="s">
        <v>73</v>
      </c>
      <c r="F273" t="s">
        <v>74</v>
      </c>
      <c r="G273">
        <v>240944</v>
      </c>
      <c r="H273" t="s">
        <v>74</v>
      </c>
      <c r="I273" t="s">
        <v>75</v>
      </c>
      <c r="J273" t="s">
        <v>74</v>
      </c>
      <c r="K273" t="s">
        <v>1426</v>
      </c>
      <c r="L273" t="s">
        <v>77</v>
      </c>
      <c r="M273" t="s">
        <v>78</v>
      </c>
      <c r="N273" t="s">
        <v>1427</v>
      </c>
      <c r="O273" t="s">
        <v>1428</v>
      </c>
      <c r="P273" t="s">
        <v>1419</v>
      </c>
      <c r="Z273">
        <v>2</v>
      </c>
      <c r="AF273" t="s">
        <v>339</v>
      </c>
      <c r="AG273" t="s">
        <v>296</v>
      </c>
      <c r="AH273" t="s">
        <v>339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0.3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327.7</v>
      </c>
      <c r="BE273">
        <v>0</v>
      </c>
      <c r="BF273">
        <v>80</v>
      </c>
      <c r="BG273">
        <v>0</v>
      </c>
      <c r="BH273">
        <v>0</v>
      </c>
      <c r="BI273">
        <v>16</v>
      </c>
      <c r="BJ273">
        <v>0</v>
      </c>
      <c r="BK273">
        <v>0</v>
      </c>
      <c r="BL273">
        <v>0</v>
      </c>
      <c r="BM273">
        <v>0</v>
      </c>
      <c r="BN273">
        <v>424</v>
      </c>
      <c r="BO273">
        <v>67.84</v>
      </c>
      <c r="BP273">
        <v>16.96</v>
      </c>
      <c r="BQ273">
        <f t="shared" si="4"/>
        <v>474.88000000000005</v>
      </c>
      <c r="BR273" t="s">
        <v>1429</v>
      </c>
    </row>
    <row r="274" spans="1:70">
      <c r="A274" t="s">
        <v>1430</v>
      </c>
      <c r="B274" t="s">
        <v>1431</v>
      </c>
      <c r="C274" t="s">
        <v>71</v>
      </c>
      <c r="D274" t="s">
        <v>289</v>
      </c>
      <c r="E274" t="s">
        <v>73</v>
      </c>
      <c r="F274" t="s">
        <v>74</v>
      </c>
      <c r="G274">
        <v>240943</v>
      </c>
      <c r="H274" t="s">
        <v>74</v>
      </c>
      <c r="I274" t="s">
        <v>75</v>
      </c>
      <c r="J274" t="s">
        <v>74</v>
      </c>
      <c r="K274" t="s">
        <v>1432</v>
      </c>
      <c r="L274" t="s">
        <v>77</v>
      </c>
      <c r="M274" t="s">
        <v>78</v>
      </c>
      <c r="N274" t="s">
        <v>343</v>
      </c>
      <c r="O274" t="s">
        <v>1433</v>
      </c>
      <c r="P274" t="s">
        <v>1419</v>
      </c>
      <c r="X274">
        <v>10</v>
      </c>
      <c r="AF274" t="s">
        <v>372</v>
      </c>
      <c r="AG274" t="s">
        <v>296</v>
      </c>
      <c r="AH274" t="s">
        <v>372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1.5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154.5</v>
      </c>
      <c r="BE274">
        <v>0</v>
      </c>
      <c r="BF274">
        <v>400</v>
      </c>
      <c r="BG274">
        <v>0</v>
      </c>
      <c r="BH274">
        <v>0</v>
      </c>
      <c r="BI274">
        <v>80</v>
      </c>
      <c r="BJ274">
        <v>0</v>
      </c>
      <c r="BK274">
        <v>0</v>
      </c>
      <c r="BL274">
        <v>0</v>
      </c>
      <c r="BM274">
        <v>0</v>
      </c>
      <c r="BN274">
        <v>636</v>
      </c>
      <c r="BO274">
        <v>101.76</v>
      </c>
      <c r="BP274">
        <v>25.44</v>
      </c>
      <c r="BQ274">
        <f t="shared" si="4"/>
        <v>712.31999999999994</v>
      </c>
      <c r="BR274" t="s">
        <v>343</v>
      </c>
    </row>
    <row r="275" spans="1:70">
      <c r="A275" t="s">
        <v>1434</v>
      </c>
      <c r="B275" t="s">
        <v>1435</v>
      </c>
      <c r="C275" t="s">
        <v>71</v>
      </c>
      <c r="D275" t="s">
        <v>289</v>
      </c>
      <c r="E275" t="s">
        <v>73</v>
      </c>
      <c r="F275" t="s">
        <v>74</v>
      </c>
      <c r="G275">
        <v>240939</v>
      </c>
      <c r="H275" t="s">
        <v>74</v>
      </c>
      <c r="I275" t="s">
        <v>75</v>
      </c>
      <c r="J275" t="s">
        <v>74</v>
      </c>
      <c r="K275" t="s">
        <v>1436</v>
      </c>
      <c r="L275" t="s">
        <v>77</v>
      </c>
      <c r="M275" t="s">
        <v>78</v>
      </c>
      <c r="N275" t="s">
        <v>337</v>
      </c>
      <c r="O275" t="s">
        <v>1437</v>
      </c>
      <c r="P275" t="s">
        <v>1419</v>
      </c>
      <c r="T275">
        <v>1</v>
      </c>
      <c r="AF275" t="s">
        <v>823</v>
      </c>
      <c r="AG275" t="s">
        <v>296</v>
      </c>
      <c r="AH275" t="s">
        <v>823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36.46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2293.8200000000002</v>
      </c>
      <c r="BE275">
        <v>0</v>
      </c>
      <c r="BF275">
        <v>458.08</v>
      </c>
      <c r="BG275">
        <v>0</v>
      </c>
      <c r="BH275">
        <v>0</v>
      </c>
      <c r="BI275">
        <v>421.62</v>
      </c>
      <c r="BJ275">
        <v>0</v>
      </c>
      <c r="BK275">
        <v>0</v>
      </c>
      <c r="BL275">
        <v>0</v>
      </c>
      <c r="BM275">
        <v>0</v>
      </c>
      <c r="BN275">
        <v>3209.98</v>
      </c>
      <c r="BO275">
        <v>513.59</v>
      </c>
      <c r="BP275">
        <v>128.38999999999999</v>
      </c>
      <c r="BQ275">
        <f t="shared" si="4"/>
        <v>3595.1800000000003</v>
      </c>
      <c r="BR275" t="s">
        <v>337</v>
      </c>
    </row>
    <row r="276" spans="1:70">
      <c r="A276" t="s">
        <v>1438</v>
      </c>
      <c r="B276" t="s">
        <v>1439</v>
      </c>
      <c r="C276" t="s">
        <v>71</v>
      </c>
      <c r="D276" t="s">
        <v>289</v>
      </c>
      <c r="E276" t="s">
        <v>73</v>
      </c>
      <c r="F276" t="s">
        <v>74</v>
      </c>
      <c r="G276">
        <v>240746</v>
      </c>
      <c r="H276" t="s">
        <v>74</v>
      </c>
      <c r="I276" t="s">
        <v>75</v>
      </c>
      <c r="J276" t="s">
        <v>74</v>
      </c>
      <c r="K276" t="s">
        <v>1440</v>
      </c>
      <c r="L276" t="s">
        <v>77</v>
      </c>
      <c r="M276" t="s">
        <v>78</v>
      </c>
      <c r="N276" t="s">
        <v>137</v>
      </c>
      <c r="O276" t="s">
        <v>1441</v>
      </c>
      <c r="P276" t="s">
        <v>1419</v>
      </c>
      <c r="T276">
        <v>1</v>
      </c>
      <c r="AF276" t="s">
        <v>823</v>
      </c>
      <c r="AG276" t="s">
        <v>296</v>
      </c>
      <c r="AH276" t="s">
        <v>823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36.46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3209.98</v>
      </c>
      <c r="BE276">
        <v>0</v>
      </c>
      <c r="BF276">
        <v>458.08</v>
      </c>
      <c r="BG276">
        <v>0</v>
      </c>
      <c r="BH276">
        <v>0</v>
      </c>
      <c r="BI276">
        <v>421.62</v>
      </c>
      <c r="BJ276">
        <v>0</v>
      </c>
      <c r="BK276">
        <v>0</v>
      </c>
      <c r="BL276">
        <v>0</v>
      </c>
      <c r="BM276">
        <v>0</v>
      </c>
      <c r="BN276">
        <v>4126.1400000000003</v>
      </c>
      <c r="BO276">
        <v>660.18</v>
      </c>
      <c r="BP276">
        <v>165.04</v>
      </c>
      <c r="BQ276">
        <f t="shared" si="4"/>
        <v>4621.2800000000007</v>
      </c>
      <c r="BR276" t="s">
        <v>141</v>
      </c>
    </row>
    <row r="277" spans="1:70">
      <c r="A277" t="s">
        <v>1442</v>
      </c>
      <c r="B277" t="s">
        <v>1443</v>
      </c>
      <c r="C277" t="s">
        <v>71</v>
      </c>
      <c r="D277" t="s">
        <v>289</v>
      </c>
      <c r="E277" t="s">
        <v>73</v>
      </c>
      <c r="F277" t="s">
        <v>74</v>
      </c>
      <c r="G277">
        <v>240876</v>
      </c>
      <c r="H277" t="s">
        <v>74</v>
      </c>
      <c r="I277" t="s">
        <v>75</v>
      </c>
      <c r="J277" t="s">
        <v>74</v>
      </c>
      <c r="K277" t="s">
        <v>1444</v>
      </c>
      <c r="L277" t="s">
        <v>77</v>
      </c>
      <c r="M277" t="s">
        <v>78</v>
      </c>
      <c r="N277" t="s">
        <v>637</v>
      </c>
      <c r="O277" t="s">
        <v>1445</v>
      </c>
      <c r="P277" t="s">
        <v>1419</v>
      </c>
      <c r="X277">
        <v>5</v>
      </c>
      <c r="AF277" t="s">
        <v>333</v>
      </c>
      <c r="AG277" t="s">
        <v>296</v>
      </c>
      <c r="AH277" t="s">
        <v>333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0.75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230.95</v>
      </c>
      <c r="BE277">
        <v>0</v>
      </c>
      <c r="BF277">
        <v>200</v>
      </c>
      <c r="BG277">
        <v>0</v>
      </c>
      <c r="BH277">
        <v>0</v>
      </c>
      <c r="BI277">
        <v>40</v>
      </c>
      <c r="BJ277">
        <v>0</v>
      </c>
      <c r="BK277">
        <v>0</v>
      </c>
      <c r="BL277">
        <v>0</v>
      </c>
      <c r="BM277">
        <v>0</v>
      </c>
      <c r="BN277">
        <v>471.7</v>
      </c>
      <c r="BO277">
        <v>75.47</v>
      </c>
      <c r="BP277">
        <v>18.87</v>
      </c>
      <c r="BQ277">
        <f t="shared" si="4"/>
        <v>528.29999999999995</v>
      </c>
      <c r="BR277" t="s">
        <v>639</v>
      </c>
    </row>
    <row r="278" spans="1:70">
      <c r="A278" t="s">
        <v>1446</v>
      </c>
      <c r="B278" t="s">
        <v>1447</v>
      </c>
      <c r="C278" t="s">
        <v>71</v>
      </c>
      <c r="D278" t="s">
        <v>289</v>
      </c>
      <c r="E278" t="s">
        <v>73</v>
      </c>
      <c r="F278" t="s">
        <v>74</v>
      </c>
      <c r="G278" t="s">
        <v>1448</v>
      </c>
      <c r="H278" t="s">
        <v>74</v>
      </c>
      <c r="I278" t="s">
        <v>75</v>
      </c>
      <c r="J278" t="s">
        <v>74</v>
      </c>
      <c r="K278" t="s">
        <v>1449</v>
      </c>
      <c r="L278" t="s">
        <v>77</v>
      </c>
      <c r="M278" t="s">
        <v>78</v>
      </c>
      <c r="N278" t="s">
        <v>324</v>
      </c>
      <c r="O278" t="s">
        <v>1450</v>
      </c>
      <c r="P278" t="s">
        <v>1419</v>
      </c>
      <c r="X278">
        <v>12</v>
      </c>
      <c r="AF278" t="s">
        <v>379</v>
      </c>
      <c r="AG278" t="s">
        <v>296</v>
      </c>
      <c r="AH278" t="s">
        <v>379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1.8</v>
      </c>
      <c r="AT278">
        <v>0</v>
      </c>
      <c r="AU278">
        <v>0</v>
      </c>
      <c r="AV278">
        <v>315.48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554.28</v>
      </c>
      <c r="BE278">
        <v>0</v>
      </c>
      <c r="BF278">
        <v>480</v>
      </c>
      <c r="BG278">
        <v>0</v>
      </c>
      <c r="BH278">
        <v>0</v>
      </c>
      <c r="BI278">
        <v>96</v>
      </c>
      <c r="BJ278">
        <v>0</v>
      </c>
      <c r="BK278">
        <v>0</v>
      </c>
      <c r="BL278">
        <v>0</v>
      </c>
      <c r="BM278">
        <v>0</v>
      </c>
      <c r="BN278">
        <v>1447.56</v>
      </c>
      <c r="BO278">
        <v>231.61</v>
      </c>
      <c r="BP278">
        <v>45.28</v>
      </c>
      <c r="BQ278">
        <f t="shared" si="4"/>
        <v>1633.89</v>
      </c>
      <c r="BR278" t="s">
        <v>324</v>
      </c>
    </row>
    <row r="279" spans="1:70">
      <c r="A279" t="s">
        <v>1451</v>
      </c>
      <c r="B279" t="s">
        <v>1452</v>
      </c>
      <c r="C279" t="s">
        <v>71</v>
      </c>
      <c r="D279" t="s">
        <v>289</v>
      </c>
      <c r="E279" t="s">
        <v>73</v>
      </c>
      <c r="F279" t="s">
        <v>74</v>
      </c>
      <c r="G279">
        <v>240989</v>
      </c>
      <c r="H279" t="s">
        <v>74</v>
      </c>
      <c r="I279" t="s">
        <v>75</v>
      </c>
      <c r="J279" t="s">
        <v>74</v>
      </c>
      <c r="K279" t="s">
        <v>1453</v>
      </c>
      <c r="L279" t="s">
        <v>77</v>
      </c>
      <c r="M279" t="s">
        <v>78</v>
      </c>
      <c r="N279" t="s">
        <v>172</v>
      </c>
      <c r="O279" t="s">
        <v>1128</v>
      </c>
      <c r="P279" t="s">
        <v>1454</v>
      </c>
      <c r="AD279">
        <v>4</v>
      </c>
      <c r="AF279" t="s">
        <v>326</v>
      </c>
      <c r="AG279" t="s">
        <v>296</v>
      </c>
      <c r="AH279" t="s">
        <v>326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0.6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279.12</v>
      </c>
      <c r="BE279">
        <v>0</v>
      </c>
      <c r="BF279">
        <v>160</v>
      </c>
      <c r="BG279">
        <v>0</v>
      </c>
      <c r="BH279">
        <v>0</v>
      </c>
      <c r="BI279">
        <v>32</v>
      </c>
      <c r="BJ279">
        <v>0</v>
      </c>
      <c r="BK279">
        <v>0</v>
      </c>
      <c r="BL279">
        <v>0</v>
      </c>
      <c r="BM279">
        <v>0</v>
      </c>
      <c r="BN279">
        <v>471.72</v>
      </c>
      <c r="BO279">
        <v>75.48</v>
      </c>
      <c r="BP279">
        <v>18.86</v>
      </c>
      <c r="BQ279">
        <f t="shared" si="4"/>
        <v>528.34</v>
      </c>
      <c r="BR279" t="s">
        <v>175</v>
      </c>
    </row>
    <row r="280" spans="1:70">
      <c r="A280" t="s">
        <v>1455</v>
      </c>
      <c r="B280" t="s">
        <v>1456</v>
      </c>
      <c r="C280" t="s">
        <v>71</v>
      </c>
      <c r="D280" t="s">
        <v>289</v>
      </c>
      <c r="E280" t="s">
        <v>73</v>
      </c>
      <c r="F280" t="s">
        <v>74</v>
      </c>
      <c r="G280">
        <v>240983</v>
      </c>
      <c r="H280" t="s">
        <v>74</v>
      </c>
      <c r="I280" t="s">
        <v>75</v>
      </c>
      <c r="J280" t="s">
        <v>74</v>
      </c>
      <c r="K280" t="s">
        <v>1457</v>
      </c>
      <c r="L280" t="s">
        <v>77</v>
      </c>
      <c r="M280" t="s">
        <v>78</v>
      </c>
      <c r="N280" t="s">
        <v>1064</v>
      </c>
      <c r="O280" t="s">
        <v>1458</v>
      </c>
      <c r="P280" t="s">
        <v>1454</v>
      </c>
      <c r="Z280">
        <v>2</v>
      </c>
      <c r="AF280" t="s">
        <v>339</v>
      </c>
      <c r="AG280" t="s">
        <v>296</v>
      </c>
      <c r="AH280" t="s">
        <v>339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0.3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327.7</v>
      </c>
      <c r="BE280">
        <v>0</v>
      </c>
      <c r="BF280">
        <v>80</v>
      </c>
      <c r="BG280">
        <v>0</v>
      </c>
      <c r="BH280">
        <v>0</v>
      </c>
      <c r="BI280">
        <v>16</v>
      </c>
      <c r="BJ280">
        <v>0</v>
      </c>
      <c r="BK280">
        <v>0</v>
      </c>
      <c r="BL280">
        <v>0</v>
      </c>
      <c r="BM280">
        <v>0</v>
      </c>
      <c r="BN280">
        <v>424</v>
      </c>
      <c r="BO280">
        <v>67.84</v>
      </c>
      <c r="BP280">
        <v>16.96</v>
      </c>
      <c r="BQ280">
        <f t="shared" si="4"/>
        <v>474.88000000000005</v>
      </c>
      <c r="BR280" t="s">
        <v>83</v>
      </c>
    </row>
    <row r="281" spans="1:70">
      <c r="A281" t="s">
        <v>1459</v>
      </c>
      <c r="B281" t="s">
        <v>1460</v>
      </c>
      <c r="C281" t="s">
        <v>71</v>
      </c>
      <c r="D281" t="s">
        <v>289</v>
      </c>
      <c r="E281" t="s">
        <v>73</v>
      </c>
      <c r="F281" t="s">
        <v>74</v>
      </c>
      <c r="G281">
        <v>240982</v>
      </c>
      <c r="H281" t="s">
        <v>74</v>
      </c>
      <c r="I281" t="s">
        <v>75</v>
      </c>
      <c r="J281" t="s">
        <v>74</v>
      </c>
      <c r="K281" t="s">
        <v>1461</v>
      </c>
      <c r="L281" t="s">
        <v>77</v>
      </c>
      <c r="M281" t="s">
        <v>78</v>
      </c>
      <c r="N281" t="s">
        <v>438</v>
      </c>
      <c r="O281" t="s">
        <v>1462</v>
      </c>
      <c r="P281" t="s">
        <v>1454</v>
      </c>
      <c r="X281">
        <v>13</v>
      </c>
      <c r="AF281" t="s">
        <v>434</v>
      </c>
      <c r="AG281" t="s">
        <v>296</v>
      </c>
      <c r="AH281" t="s">
        <v>434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1.95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200.85</v>
      </c>
      <c r="BE281">
        <v>0</v>
      </c>
      <c r="BF281">
        <v>520</v>
      </c>
      <c r="BG281">
        <v>0</v>
      </c>
      <c r="BH281">
        <v>0</v>
      </c>
      <c r="BI281">
        <v>104</v>
      </c>
      <c r="BJ281">
        <v>0</v>
      </c>
      <c r="BK281">
        <v>0</v>
      </c>
      <c r="BL281">
        <v>0</v>
      </c>
      <c r="BM281">
        <v>0</v>
      </c>
      <c r="BN281">
        <v>826.8</v>
      </c>
      <c r="BO281">
        <v>132.29</v>
      </c>
      <c r="BP281">
        <v>33.07</v>
      </c>
      <c r="BQ281">
        <f t="shared" si="4"/>
        <v>926.01999999999987</v>
      </c>
      <c r="BR281" t="s">
        <v>440</v>
      </c>
    </row>
    <row r="282" spans="1:70">
      <c r="A282" t="s">
        <v>1463</v>
      </c>
      <c r="B282" t="s">
        <v>1464</v>
      </c>
      <c r="C282" t="s">
        <v>71</v>
      </c>
      <c r="D282" t="s">
        <v>289</v>
      </c>
      <c r="E282" t="s">
        <v>73</v>
      </c>
      <c r="F282" t="s">
        <v>74</v>
      </c>
      <c r="G282">
        <v>240979</v>
      </c>
      <c r="H282" t="s">
        <v>74</v>
      </c>
      <c r="I282" t="s">
        <v>75</v>
      </c>
      <c r="J282" t="s">
        <v>74</v>
      </c>
      <c r="K282" t="s">
        <v>1465</v>
      </c>
      <c r="L282" t="s">
        <v>77</v>
      </c>
      <c r="M282" t="s">
        <v>78</v>
      </c>
      <c r="N282" t="s">
        <v>137</v>
      </c>
      <c r="O282" t="s">
        <v>1466</v>
      </c>
      <c r="P282" t="s">
        <v>1454</v>
      </c>
      <c r="X282">
        <v>7</v>
      </c>
      <c r="AF282" t="s">
        <v>345</v>
      </c>
      <c r="AG282" t="s">
        <v>296</v>
      </c>
      <c r="AH282" t="s">
        <v>345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1.05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323.33</v>
      </c>
      <c r="BE282">
        <v>0</v>
      </c>
      <c r="BF282">
        <v>280</v>
      </c>
      <c r="BG282">
        <v>0</v>
      </c>
      <c r="BH282">
        <v>0</v>
      </c>
      <c r="BI282">
        <v>56</v>
      </c>
      <c r="BJ282">
        <v>0</v>
      </c>
      <c r="BK282">
        <v>0</v>
      </c>
      <c r="BL282">
        <v>0</v>
      </c>
      <c r="BM282">
        <v>0</v>
      </c>
      <c r="BN282">
        <v>660.38</v>
      </c>
      <c r="BO282">
        <v>105.66</v>
      </c>
      <c r="BP282">
        <v>26.41</v>
      </c>
      <c r="BQ282">
        <f t="shared" si="4"/>
        <v>739.63</v>
      </c>
      <c r="BR282" t="s">
        <v>141</v>
      </c>
    </row>
    <row r="283" spans="1:70">
      <c r="A283" t="s">
        <v>1467</v>
      </c>
      <c r="B283" t="s">
        <v>1468</v>
      </c>
      <c r="C283" t="s">
        <v>71</v>
      </c>
      <c r="D283" t="s">
        <v>289</v>
      </c>
      <c r="E283" t="s">
        <v>73</v>
      </c>
      <c r="F283" t="s">
        <v>74</v>
      </c>
      <c r="G283">
        <v>240978</v>
      </c>
      <c r="H283" t="s">
        <v>74</v>
      </c>
      <c r="I283" t="s">
        <v>75</v>
      </c>
      <c r="J283" t="s">
        <v>74</v>
      </c>
      <c r="K283" t="s">
        <v>1469</v>
      </c>
      <c r="L283" t="s">
        <v>77</v>
      </c>
      <c r="M283" t="s">
        <v>78</v>
      </c>
      <c r="N283" t="s">
        <v>438</v>
      </c>
      <c r="O283" t="s">
        <v>1470</v>
      </c>
      <c r="P283" t="s">
        <v>1454</v>
      </c>
      <c r="X283">
        <v>10</v>
      </c>
      <c r="AF283" t="s">
        <v>372</v>
      </c>
      <c r="AG283" t="s">
        <v>296</v>
      </c>
      <c r="AH283" t="s">
        <v>372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1.5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154.5</v>
      </c>
      <c r="BE283">
        <v>0</v>
      </c>
      <c r="BF283">
        <v>400</v>
      </c>
      <c r="BG283">
        <v>0</v>
      </c>
      <c r="BH283">
        <v>0</v>
      </c>
      <c r="BI283">
        <v>80</v>
      </c>
      <c r="BJ283">
        <v>0</v>
      </c>
      <c r="BK283">
        <v>0</v>
      </c>
      <c r="BL283">
        <v>0</v>
      </c>
      <c r="BM283">
        <v>0</v>
      </c>
      <c r="BN283">
        <v>636</v>
      </c>
      <c r="BO283">
        <v>101.76</v>
      </c>
      <c r="BP283">
        <v>25.44</v>
      </c>
      <c r="BQ283">
        <f t="shared" si="4"/>
        <v>712.31999999999994</v>
      </c>
      <c r="BR283" t="s">
        <v>440</v>
      </c>
    </row>
    <row r="284" spans="1:70">
      <c r="A284" t="s">
        <v>1471</v>
      </c>
      <c r="B284" t="s">
        <v>1472</v>
      </c>
      <c r="C284" t="s">
        <v>71</v>
      </c>
      <c r="D284" t="s">
        <v>289</v>
      </c>
      <c r="E284" t="s">
        <v>73</v>
      </c>
      <c r="F284" t="s">
        <v>74</v>
      </c>
      <c r="G284">
        <v>240977</v>
      </c>
      <c r="H284" t="s">
        <v>74</v>
      </c>
      <c r="I284" t="s">
        <v>75</v>
      </c>
      <c r="J284" t="s">
        <v>74</v>
      </c>
      <c r="K284" t="s">
        <v>1473</v>
      </c>
      <c r="L284" t="s">
        <v>77</v>
      </c>
      <c r="M284" t="s">
        <v>78</v>
      </c>
      <c r="N284" t="s">
        <v>468</v>
      </c>
      <c r="O284" t="s">
        <v>469</v>
      </c>
      <c r="P284" t="s">
        <v>1454</v>
      </c>
      <c r="X284">
        <v>14</v>
      </c>
      <c r="AF284" t="s">
        <v>413</v>
      </c>
      <c r="AG284" t="s">
        <v>296</v>
      </c>
      <c r="AH284" t="s">
        <v>413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2.1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646.66</v>
      </c>
      <c r="BE284">
        <v>0</v>
      </c>
      <c r="BF284">
        <v>560</v>
      </c>
      <c r="BG284">
        <v>0</v>
      </c>
      <c r="BH284">
        <v>0</v>
      </c>
      <c r="BI284">
        <v>112</v>
      </c>
      <c r="BJ284">
        <v>0</v>
      </c>
      <c r="BK284">
        <v>0</v>
      </c>
      <c r="BL284">
        <v>0</v>
      </c>
      <c r="BM284">
        <v>0</v>
      </c>
      <c r="BN284">
        <v>1320.76</v>
      </c>
      <c r="BO284">
        <v>211.33</v>
      </c>
      <c r="BP284">
        <v>52.83</v>
      </c>
      <c r="BQ284">
        <f t="shared" si="4"/>
        <v>1479.26</v>
      </c>
      <c r="BR284" t="s">
        <v>141</v>
      </c>
    </row>
    <row r="285" spans="1:70">
      <c r="A285" t="s">
        <v>1474</v>
      </c>
      <c r="B285" t="s">
        <v>1475</v>
      </c>
      <c r="C285" t="s">
        <v>71</v>
      </c>
      <c r="D285" t="s">
        <v>289</v>
      </c>
      <c r="E285" t="s">
        <v>73</v>
      </c>
      <c r="F285" t="s">
        <v>74</v>
      </c>
      <c r="G285">
        <v>240976</v>
      </c>
      <c r="H285" t="s">
        <v>74</v>
      </c>
      <c r="I285" t="s">
        <v>75</v>
      </c>
      <c r="J285" t="s">
        <v>74</v>
      </c>
      <c r="K285" t="s">
        <v>1476</v>
      </c>
      <c r="L285" t="s">
        <v>77</v>
      </c>
      <c r="M285" t="s">
        <v>78</v>
      </c>
      <c r="N285" t="s">
        <v>312</v>
      </c>
      <c r="O285" t="s">
        <v>1477</v>
      </c>
      <c r="P285" t="s">
        <v>1454</v>
      </c>
      <c r="X285">
        <v>21</v>
      </c>
      <c r="AF285" t="s">
        <v>684</v>
      </c>
      <c r="AG285" t="s">
        <v>296</v>
      </c>
      <c r="AH285" t="s">
        <v>684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3.15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324.45</v>
      </c>
      <c r="BE285">
        <v>0</v>
      </c>
      <c r="BF285">
        <v>840</v>
      </c>
      <c r="BG285">
        <v>0</v>
      </c>
      <c r="BH285">
        <v>0</v>
      </c>
      <c r="BI285">
        <v>168</v>
      </c>
      <c r="BJ285">
        <v>0</v>
      </c>
      <c r="BK285">
        <v>0</v>
      </c>
      <c r="BL285">
        <v>0</v>
      </c>
      <c r="BM285">
        <v>0</v>
      </c>
      <c r="BN285">
        <v>1335.6</v>
      </c>
      <c r="BO285">
        <v>213.69</v>
      </c>
      <c r="BP285">
        <v>53.43</v>
      </c>
      <c r="BQ285">
        <f t="shared" si="4"/>
        <v>1495.86</v>
      </c>
      <c r="BR285" t="s">
        <v>312</v>
      </c>
    </row>
    <row r="286" spans="1:70">
      <c r="A286" t="s">
        <v>1478</v>
      </c>
      <c r="B286" t="s">
        <v>1479</v>
      </c>
      <c r="C286" t="s">
        <v>71</v>
      </c>
      <c r="D286" t="s">
        <v>289</v>
      </c>
      <c r="E286" t="s">
        <v>73</v>
      </c>
      <c r="F286" t="s">
        <v>74</v>
      </c>
      <c r="G286">
        <v>240975</v>
      </c>
      <c r="H286" t="s">
        <v>74</v>
      </c>
      <c r="I286" t="s">
        <v>75</v>
      </c>
      <c r="J286" t="s">
        <v>74</v>
      </c>
      <c r="K286" t="s">
        <v>1480</v>
      </c>
      <c r="L286" t="s">
        <v>77</v>
      </c>
      <c r="M286" t="s">
        <v>78</v>
      </c>
      <c r="N286" t="s">
        <v>558</v>
      </c>
      <c r="O286" t="s">
        <v>1481</v>
      </c>
      <c r="P286" t="s">
        <v>1454</v>
      </c>
      <c r="X286">
        <v>25</v>
      </c>
      <c r="AF286" t="s">
        <v>717</v>
      </c>
      <c r="AG286" t="s">
        <v>296</v>
      </c>
      <c r="AH286" t="s">
        <v>717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3.75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1154.75</v>
      </c>
      <c r="BE286">
        <v>0</v>
      </c>
      <c r="BF286">
        <v>1000</v>
      </c>
      <c r="BG286">
        <v>0</v>
      </c>
      <c r="BH286">
        <v>0</v>
      </c>
      <c r="BI286">
        <v>200</v>
      </c>
      <c r="BJ286">
        <v>0</v>
      </c>
      <c r="BK286">
        <v>0</v>
      </c>
      <c r="BL286">
        <v>0</v>
      </c>
      <c r="BM286">
        <v>0</v>
      </c>
      <c r="BN286">
        <v>2358.5</v>
      </c>
      <c r="BO286">
        <v>377.36</v>
      </c>
      <c r="BP286">
        <v>94.34</v>
      </c>
      <c r="BQ286">
        <f t="shared" si="4"/>
        <v>2641.52</v>
      </c>
      <c r="BR286" t="s">
        <v>560</v>
      </c>
    </row>
    <row r="287" spans="1:70">
      <c r="A287" t="s">
        <v>1482</v>
      </c>
      <c r="B287" t="s">
        <v>1483</v>
      </c>
      <c r="C287" t="s">
        <v>71</v>
      </c>
      <c r="D287" t="s">
        <v>289</v>
      </c>
      <c r="E287" t="s">
        <v>73</v>
      </c>
      <c r="F287" t="s">
        <v>74</v>
      </c>
      <c r="G287">
        <v>240973</v>
      </c>
      <c r="H287" t="s">
        <v>74</v>
      </c>
      <c r="I287" t="s">
        <v>75</v>
      </c>
      <c r="J287" t="s">
        <v>74</v>
      </c>
      <c r="K287" t="s">
        <v>1484</v>
      </c>
      <c r="L287" t="s">
        <v>77</v>
      </c>
      <c r="M287" t="s">
        <v>78</v>
      </c>
      <c r="N287" t="s">
        <v>757</v>
      </c>
      <c r="O287" t="s">
        <v>899</v>
      </c>
      <c r="P287" t="s">
        <v>1454</v>
      </c>
      <c r="X287">
        <v>5</v>
      </c>
      <c r="AF287" t="s">
        <v>333</v>
      </c>
      <c r="AG287" t="s">
        <v>296</v>
      </c>
      <c r="AH287" t="s">
        <v>333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0.75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77.25</v>
      </c>
      <c r="BE287">
        <v>0</v>
      </c>
      <c r="BF287">
        <v>200</v>
      </c>
      <c r="BG287">
        <v>0</v>
      </c>
      <c r="BH287">
        <v>0</v>
      </c>
      <c r="BI287">
        <v>40</v>
      </c>
      <c r="BJ287">
        <v>0</v>
      </c>
      <c r="BK287">
        <v>0</v>
      </c>
      <c r="BL287">
        <v>0</v>
      </c>
      <c r="BM287">
        <v>0</v>
      </c>
      <c r="BN287">
        <v>318</v>
      </c>
      <c r="BO287">
        <v>50.88</v>
      </c>
      <c r="BP287">
        <v>12.72</v>
      </c>
      <c r="BQ287">
        <f t="shared" si="4"/>
        <v>356.15999999999997</v>
      </c>
      <c r="BR287" t="s">
        <v>757</v>
      </c>
    </row>
    <row r="288" spans="1:70">
      <c r="A288" t="s">
        <v>1485</v>
      </c>
      <c r="B288" t="s">
        <v>1486</v>
      </c>
      <c r="C288" t="s">
        <v>71</v>
      </c>
      <c r="D288" t="s">
        <v>289</v>
      </c>
      <c r="E288" t="s">
        <v>73</v>
      </c>
      <c r="F288" t="s">
        <v>74</v>
      </c>
      <c r="G288">
        <v>240967</v>
      </c>
      <c r="H288" t="s">
        <v>74</v>
      </c>
      <c r="I288" t="s">
        <v>75</v>
      </c>
      <c r="J288" t="s">
        <v>74</v>
      </c>
      <c r="K288" t="s">
        <v>1487</v>
      </c>
      <c r="L288" t="s">
        <v>77</v>
      </c>
      <c r="M288" t="s">
        <v>78</v>
      </c>
      <c r="N288" t="s">
        <v>558</v>
      </c>
      <c r="O288" t="s">
        <v>1488</v>
      </c>
      <c r="P288" t="s">
        <v>1454</v>
      </c>
      <c r="X288">
        <v>36</v>
      </c>
      <c r="AF288" t="s">
        <v>1489</v>
      </c>
      <c r="AG288" t="s">
        <v>296</v>
      </c>
      <c r="AH288" t="s">
        <v>1489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5.4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1662.84</v>
      </c>
      <c r="BE288">
        <v>0</v>
      </c>
      <c r="BF288">
        <v>1440</v>
      </c>
      <c r="BG288">
        <v>0</v>
      </c>
      <c r="BH288">
        <v>0</v>
      </c>
      <c r="BI288">
        <v>288</v>
      </c>
      <c r="BJ288">
        <v>0</v>
      </c>
      <c r="BK288">
        <v>0</v>
      </c>
      <c r="BL288">
        <v>0</v>
      </c>
      <c r="BM288">
        <v>0</v>
      </c>
      <c r="BN288">
        <v>3396.24</v>
      </c>
      <c r="BO288">
        <v>543.39</v>
      </c>
      <c r="BP288">
        <v>135.85</v>
      </c>
      <c r="BQ288">
        <f t="shared" si="4"/>
        <v>3803.7799999999997</v>
      </c>
      <c r="BR288" t="s">
        <v>560</v>
      </c>
    </row>
    <row r="289" spans="1:70">
      <c r="A289" t="s">
        <v>1490</v>
      </c>
      <c r="B289" t="s">
        <v>1491</v>
      </c>
      <c r="C289" t="s">
        <v>71</v>
      </c>
      <c r="D289" t="s">
        <v>289</v>
      </c>
      <c r="E289" t="s">
        <v>73</v>
      </c>
      <c r="F289" t="s">
        <v>74</v>
      </c>
      <c r="G289" t="s">
        <v>1492</v>
      </c>
      <c r="H289" t="s">
        <v>74</v>
      </c>
      <c r="I289" t="s">
        <v>75</v>
      </c>
      <c r="J289" t="s">
        <v>74</v>
      </c>
      <c r="K289" t="s">
        <v>1493</v>
      </c>
      <c r="L289" t="s">
        <v>77</v>
      </c>
      <c r="M289" t="s">
        <v>78</v>
      </c>
      <c r="N289" t="s">
        <v>92</v>
      </c>
      <c r="O289" t="s">
        <v>1494</v>
      </c>
      <c r="P289" t="s">
        <v>1454</v>
      </c>
      <c r="X289">
        <v>5</v>
      </c>
      <c r="AF289" t="s">
        <v>333</v>
      </c>
      <c r="AG289" t="s">
        <v>296</v>
      </c>
      <c r="AH289" t="s">
        <v>333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0.75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77.25</v>
      </c>
      <c r="BE289">
        <v>0</v>
      </c>
      <c r="BF289">
        <v>200</v>
      </c>
      <c r="BG289">
        <v>0</v>
      </c>
      <c r="BH289">
        <v>0</v>
      </c>
      <c r="BI289">
        <v>40</v>
      </c>
      <c r="BJ289">
        <v>0</v>
      </c>
      <c r="BK289">
        <v>0</v>
      </c>
      <c r="BL289">
        <v>0</v>
      </c>
      <c r="BM289">
        <v>0</v>
      </c>
      <c r="BN289">
        <v>318</v>
      </c>
      <c r="BO289">
        <v>50.88</v>
      </c>
      <c r="BP289">
        <v>12.72</v>
      </c>
      <c r="BQ289">
        <f t="shared" si="4"/>
        <v>356.15999999999997</v>
      </c>
      <c r="BR289" t="s">
        <v>371</v>
      </c>
    </row>
    <row r="290" spans="1:70">
      <c r="A290" t="s">
        <v>1495</v>
      </c>
      <c r="B290" t="s">
        <v>1496</v>
      </c>
      <c r="C290" t="s">
        <v>71</v>
      </c>
      <c r="D290" t="s">
        <v>289</v>
      </c>
      <c r="E290" t="s">
        <v>73</v>
      </c>
      <c r="F290" t="s">
        <v>74</v>
      </c>
      <c r="G290">
        <v>240963</v>
      </c>
      <c r="H290" t="s">
        <v>74</v>
      </c>
      <c r="I290" t="s">
        <v>75</v>
      </c>
      <c r="J290" t="s">
        <v>74</v>
      </c>
      <c r="K290" t="s">
        <v>1497</v>
      </c>
      <c r="L290" t="s">
        <v>77</v>
      </c>
      <c r="M290" t="s">
        <v>78</v>
      </c>
      <c r="N290" t="s">
        <v>137</v>
      </c>
      <c r="O290" t="s">
        <v>1498</v>
      </c>
      <c r="P290" t="s">
        <v>1454</v>
      </c>
      <c r="X290">
        <v>15</v>
      </c>
      <c r="AF290" t="s">
        <v>235</v>
      </c>
      <c r="AG290" t="s">
        <v>296</v>
      </c>
      <c r="AH290" t="s">
        <v>235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2.25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692.85</v>
      </c>
      <c r="BE290">
        <v>0</v>
      </c>
      <c r="BF290">
        <v>600</v>
      </c>
      <c r="BG290">
        <v>0</v>
      </c>
      <c r="BH290">
        <v>0</v>
      </c>
      <c r="BI290">
        <v>120</v>
      </c>
      <c r="BJ290">
        <v>0</v>
      </c>
      <c r="BK290">
        <v>0</v>
      </c>
      <c r="BL290">
        <v>0</v>
      </c>
      <c r="BM290">
        <v>0</v>
      </c>
      <c r="BN290">
        <v>1415.1</v>
      </c>
      <c r="BO290">
        <v>226.42</v>
      </c>
      <c r="BP290">
        <v>56.6</v>
      </c>
      <c r="BQ290">
        <f t="shared" si="4"/>
        <v>1584.92</v>
      </c>
      <c r="BR290" t="s">
        <v>141</v>
      </c>
    </row>
    <row r="291" spans="1:70">
      <c r="A291" t="s">
        <v>1499</v>
      </c>
      <c r="B291" t="s">
        <v>1500</v>
      </c>
      <c r="C291" t="s">
        <v>71</v>
      </c>
      <c r="D291" t="s">
        <v>289</v>
      </c>
      <c r="E291" t="s">
        <v>73</v>
      </c>
      <c r="F291" t="s">
        <v>74</v>
      </c>
      <c r="G291">
        <v>240961</v>
      </c>
      <c r="H291" t="s">
        <v>74</v>
      </c>
      <c r="I291" t="s">
        <v>75</v>
      </c>
      <c r="J291" t="s">
        <v>74</v>
      </c>
      <c r="K291" t="s">
        <v>1501</v>
      </c>
      <c r="L291" t="s">
        <v>77</v>
      </c>
      <c r="M291" t="s">
        <v>78</v>
      </c>
      <c r="N291" t="s">
        <v>959</v>
      </c>
      <c r="O291" t="s">
        <v>1502</v>
      </c>
      <c r="P291" t="s">
        <v>1454</v>
      </c>
      <c r="X291">
        <v>5</v>
      </c>
      <c r="AF291" t="s">
        <v>333</v>
      </c>
      <c r="AG291" t="s">
        <v>296</v>
      </c>
      <c r="AH291" t="s">
        <v>333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0.75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77.25</v>
      </c>
      <c r="BE291">
        <v>0</v>
      </c>
      <c r="BF291">
        <v>200</v>
      </c>
      <c r="BG291">
        <v>0</v>
      </c>
      <c r="BH291">
        <v>0</v>
      </c>
      <c r="BI291">
        <v>40</v>
      </c>
      <c r="BJ291">
        <v>0</v>
      </c>
      <c r="BK291">
        <v>0</v>
      </c>
      <c r="BL291">
        <v>0</v>
      </c>
      <c r="BM291">
        <v>0</v>
      </c>
      <c r="BN291">
        <v>318</v>
      </c>
      <c r="BO291">
        <v>50.88</v>
      </c>
      <c r="BP291">
        <v>12.72</v>
      </c>
      <c r="BQ291">
        <f t="shared" si="4"/>
        <v>356.15999999999997</v>
      </c>
      <c r="BR291" t="s">
        <v>959</v>
      </c>
    </row>
    <row r="292" spans="1:70">
      <c r="A292" t="s">
        <v>1503</v>
      </c>
      <c r="B292" t="s">
        <v>1504</v>
      </c>
      <c r="C292" t="s">
        <v>71</v>
      </c>
      <c r="D292" t="s">
        <v>289</v>
      </c>
      <c r="E292" t="s">
        <v>73</v>
      </c>
      <c r="F292" t="s">
        <v>74</v>
      </c>
      <c r="G292">
        <v>240959</v>
      </c>
      <c r="H292" t="s">
        <v>74</v>
      </c>
      <c r="I292" t="s">
        <v>75</v>
      </c>
      <c r="J292" t="s">
        <v>74</v>
      </c>
      <c r="K292" t="s">
        <v>1505</v>
      </c>
      <c r="L292" t="s">
        <v>77</v>
      </c>
      <c r="M292" t="s">
        <v>78</v>
      </c>
      <c r="N292" t="s">
        <v>1064</v>
      </c>
      <c r="O292" t="s">
        <v>1065</v>
      </c>
      <c r="P292" t="s">
        <v>1454</v>
      </c>
      <c r="AB292">
        <v>3</v>
      </c>
      <c r="AF292" t="s">
        <v>314</v>
      </c>
      <c r="AG292" t="s">
        <v>296</v>
      </c>
      <c r="AH292" t="s">
        <v>314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0.45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279.54000000000002</v>
      </c>
      <c r="BE292">
        <v>0</v>
      </c>
      <c r="BF292">
        <v>120</v>
      </c>
      <c r="BG292">
        <v>0</v>
      </c>
      <c r="BH292">
        <v>0</v>
      </c>
      <c r="BI292">
        <v>24</v>
      </c>
      <c r="BJ292">
        <v>0</v>
      </c>
      <c r="BK292">
        <v>0</v>
      </c>
      <c r="BL292">
        <v>0</v>
      </c>
      <c r="BM292">
        <v>0</v>
      </c>
      <c r="BN292">
        <v>423.99</v>
      </c>
      <c r="BO292">
        <v>67.84</v>
      </c>
      <c r="BP292">
        <v>16.96</v>
      </c>
      <c r="BQ292">
        <f t="shared" si="4"/>
        <v>474.87000000000006</v>
      </c>
      <c r="BR292" t="s">
        <v>83</v>
      </c>
    </row>
    <row r="293" spans="1:70">
      <c r="A293" t="s">
        <v>1506</v>
      </c>
      <c r="B293" t="s">
        <v>1507</v>
      </c>
      <c r="C293" t="s">
        <v>71</v>
      </c>
      <c r="D293" t="s">
        <v>289</v>
      </c>
      <c r="E293" t="s">
        <v>73</v>
      </c>
      <c r="F293" t="s">
        <v>74</v>
      </c>
      <c r="G293">
        <v>240940</v>
      </c>
      <c r="H293" t="s">
        <v>1508</v>
      </c>
      <c r="I293" t="s">
        <v>75</v>
      </c>
      <c r="J293" t="s">
        <v>74</v>
      </c>
      <c r="K293" t="s">
        <v>1509</v>
      </c>
      <c r="L293" t="s">
        <v>77</v>
      </c>
      <c r="M293" t="s">
        <v>78</v>
      </c>
      <c r="N293" t="s">
        <v>1510</v>
      </c>
      <c r="O293" t="s">
        <v>1511</v>
      </c>
      <c r="P293" t="s">
        <v>1454</v>
      </c>
      <c r="T293">
        <v>3</v>
      </c>
      <c r="AF293" t="s">
        <v>1513</v>
      </c>
      <c r="AG293" t="s">
        <v>296</v>
      </c>
      <c r="AH293" t="s">
        <v>1513</v>
      </c>
      <c r="AJ293">
        <v>6018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109.38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6881.46</v>
      </c>
      <c r="BE293">
        <v>0</v>
      </c>
      <c r="BF293">
        <v>1374.24</v>
      </c>
      <c r="BG293">
        <v>0</v>
      </c>
      <c r="BH293">
        <v>0</v>
      </c>
      <c r="BI293">
        <v>1264.8599999999999</v>
      </c>
      <c r="BJ293">
        <v>0</v>
      </c>
      <c r="BK293">
        <v>0</v>
      </c>
      <c r="BL293">
        <v>0</v>
      </c>
      <c r="BM293">
        <v>0</v>
      </c>
      <c r="BN293">
        <v>15647.94</v>
      </c>
      <c r="BO293">
        <v>2503.67</v>
      </c>
      <c r="BP293">
        <v>625.91999999999996</v>
      </c>
      <c r="BQ293">
        <f t="shared" si="4"/>
        <v>17525.690000000002</v>
      </c>
      <c r="BR293" t="s">
        <v>1512</v>
      </c>
    </row>
    <row r="294" spans="1:70">
      <c r="A294" t="s">
        <v>1514</v>
      </c>
      <c r="B294" t="s">
        <v>1515</v>
      </c>
      <c r="C294" t="s">
        <v>71</v>
      </c>
      <c r="D294" t="s">
        <v>289</v>
      </c>
      <c r="E294" t="s">
        <v>73</v>
      </c>
      <c r="F294" t="s">
        <v>74</v>
      </c>
      <c r="G294" t="s">
        <v>1516</v>
      </c>
      <c r="H294" t="s">
        <v>74</v>
      </c>
      <c r="I294" t="s">
        <v>75</v>
      </c>
      <c r="J294" t="s">
        <v>74</v>
      </c>
      <c r="K294" t="s">
        <v>1517</v>
      </c>
      <c r="L294" t="s">
        <v>77</v>
      </c>
      <c r="M294" t="s">
        <v>78</v>
      </c>
      <c r="N294" t="s">
        <v>748</v>
      </c>
      <c r="O294" t="s">
        <v>1026</v>
      </c>
      <c r="P294" t="s">
        <v>1518</v>
      </c>
      <c r="T294">
        <v>2</v>
      </c>
      <c r="AF294" t="s">
        <v>808</v>
      </c>
      <c r="AG294" t="s">
        <v>296</v>
      </c>
      <c r="AH294" t="s">
        <v>808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72.92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2142.2600000000002</v>
      </c>
      <c r="BE294">
        <v>0</v>
      </c>
      <c r="BF294">
        <v>916.16</v>
      </c>
      <c r="BG294">
        <v>0</v>
      </c>
      <c r="BH294">
        <v>0</v>
      </c>
      <c r="BI294">
        <v>843.24</v>
      </c>
      <c r="BJ294">
        <v>0</v>
      </c>
      <c r="BK294">
        <v>0</v>
      </c>
      <c r="BL294">
        <v>0</v>
      </c>
      <c r="BM294">
        <v>0</v>
      </c>
      <c r="BN294">
        <v>3974.58</v>
      </c>
      <c r="BO294">
        <v>635.94000000000005</v>
      </c>
      <c r="BP294">
        <v>158.99</v>
      </c>
      <c r="BQ294">
        <f t="shared" si="4"/>
        <v>4451.5300000000007</v>
      </c>
      <c r="BR294" t="s">
        <v>748</v>
      </c>
    </row>
    <row r="295" spans="1:70">
      <c r="A295" t="s">
        <v>1519</v>
      </c>
      <c r="B295" t="s">
        <v>1520</v>
      </c>
      <c r="C295" t="s">
        <v>71</v>
      </c>
      <c r="D295" t="s">
        <v>289</v>
      </c>
      <c r="E295" t="s">
        <v>73</v>
      </c>
      <c r="F295" t="s">
        <v>74</v>
      </c>
      <c r="G295">
        <v>241015</v>
      </c>
      <c r="H295" t="s">
        <v>74</v>
      </c>
      <c r="I295" t="s">
        <v>75</v>
      </c>
      <c r="J295" t="s">
        <v>74</v>
      </c>
      <c r="K295" t="s">
        <v>1521</v>
      </c>
      <c r="L295" t="s">
        <v>77</v>
      </c>
      <c r="M295" t="s">
        <v>78</v>
      </c>
      <c r="N295" t="s">
        <v>1522</v>
      </c>
      <c r="O295" t="s">
        <v>1523</v>
      </c>
      <c r="P295" t="s">
        <v>1518</v>
      </c>
      <c r="X295">
        <v>28</v>
      </c>
      <c r="AF295" t="s">
        <v>1238</v>
      </c>
      <c r="AG295" t="s">
        <v>296</v>
      </c>
      <c r="AH295" t="s">
        <v>1238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4.2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432.6</v>
      </c>
      <c r="BE295">
        <v>0</v>
      </c>
      <c r="BF295">
        <v>1120</v>
      </c>
      <c r="BG295">
        <v>0</v>
      </c>
      <c r="BH295">
        <v>0</v>
      </c>
      <c r="BI295">
        <v>224</v>
      </c>
      <c r="BJ295">
        <v>0</v>
      </c>
      <c r="BK295">
        <v>0</v>
      </c>
      <c r="BL295">
        <v>0</v>
      </c>
      <c r="BM295">
        <v>0</v>
      </c>
      <c r="BN295">
        <v>1780.8</v>
      </c>
      <c r="BO295">
        <v>284.93</v>
      </c>
      <c r="BP295">
        <v>71.23</v>
      </c>
      <c r="BQ295">
        <f t="shared" si="4"/>
        <v>1994.5</v>
      </c>
      <c r="BR295" t="s">
        <v>365</v>
      </c>
    </row>
    <row r="296" spans="1:70">
      <c r="A296" t="s">
        <v>1524</v>
      </c>
      <c r="B296" t="s">
        <v>1525</v>
      </c>
      <c r="C296" t="s">
        <v>71</v>
      </c>
      <c r="D296" t="s">
        <v>289</v>
      </c>
      <c r="E296" t="s">
        <v>73</v>
      </c>
      <c r="F296" t="s">
        <v>74</v>
      </c>
      <c r="G296">
        <v>240992</v>
      </c>
      <c r="H296" t="s">
        <v>74</v>
      </c>
      <c r="I296" t="s">
        <v>75</v>
      </c>
      <c r="J296" t="s">
        <v>74</v>
      </c>
      <c r="K296" t="s">
        <v>1526</v>
      </c>
      <c r="L296" t="s">
        <v>77</v>
      </c>
      <c r="M296" t="s">
        <v>78</v>
      </c>
      <c r="N296" t="s">
        <v>816</v>
      </c>
      <c r="O296" t="s">
        <v>1527</v>
      </c>
      <c r="P296" t="s">
        <v>1518</v>
      </c>
      <c r="X296">
        <v>24</v>
      </c>
      <c r="AF296" t="s">
        <v>1177</v>
      </c>
      <c r="AG296" t="s">
        <v>296</v>
      </c>
      <c r="AH296" t="s">
        <v>1177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3.6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1108.56</v>
      </c>
      <c r="BE296">
        <v>0</v>
      </c>
      <c r="BF296">
        <v>960</v>
      </c>
      <c r="BG296">
        <v>0</v>
      </c>
      <c r="BH296">
        <v>0</v>
      </c>
      <c r="BI296">
        <v>192</v>
      </c>
      <c r="BJ296">
        <v>0</v>
      </c>
      <c r="BK296">
        <v>0</v>
      </c>
      <c r="BL296">
        <v>0</v>
      </c>
      <c r="BM296">
        <v>0</v>
      </c>
      <c r="BN296">
        <v>2264.16</v>
      </c>
      <c r="BO296">
        <v>362.27</v>
      </c>
      <c r="BP296">
        <v>90.56</v>
      </c>
      <c r="BQ296">
        <f t="shared" si="4"/>
        <v>2535.87</v>
      </c>
      <c r="BR296" t="s">
        <v>332</v>
      </c>
    </row>
    <row r="297" spans="1:70">
      <c r="A297" t="s">
        <v>1528</v>
      </c>
      <c r="B297" t="s">
        <v>1529</v>
      </c>
      <c r="C297" t="s">
        <v>71</v>
      </c>
      <c r="D297" t="s">
        <v>289</v>
      </c>
      <c r="E297" t="s">
        <v>73</v>
      </c>
      <c r="F297" t="s">
        <v>74</v>
      </c>
      <c r="G297">
        <v>241001</v>
      </c>
      <c r="H297" t="s">
        <v>74</v>
      </c>
      <c r="I297" t="s">
        <v>75</v>
      </c>
      <c r="J297" t="s">
        <v>74</v>
      </c>
      <c r="K297" t="s">
        <v>1530</v>
      </c>
      <c r="L297" t="s">
        <v>77</v>
      </c>
      <c r="M297" t="s">
        <v>78</v>
      </c>
      <c r="N297" t="s">
        <v>343</v>
      </c>
      <c r="O297" t="s">
        <v>1531</v>
      </c>
      <c r="P297" t="s">
        <v>1518</v>
      </c>
      <c r="X297">
        <v>16</v>
      </c>
      <c r="AF297" t="s">
        <v>482</v>
      </c>
      <c r="AG297" t="s">
        <v>296</v>
      </c>
      <c r="AH297" t="s">
        <v>482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2.4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247.2</v>
      </c>
      <c r="BE297">
        <v>0</v>
      </c>
      <c r="BF297">
        <v>640</v>
      </c>
      <c r="BG297">
        <v>0</v>
      </c>
      <c r="BH297">
        <v>0</v>
      </c>
      <c r="BI297">
        <v>128</v>
      </c>
      <c r="BJ297">
        <v>0</v>
      </c>
      <c r="BK297">
        <v>0</v>
      </c>
      <c r="BL297">
        <v>0</v>
      </c>
      <c r="BM297">
        <v>0</v>
      </c>
      <c r="BN297">
        <v>1017.6</v>
      </c>
      <c r="BO297">
        <v>162.81</v>
      </c>
      <c r="BP297">
        <v>40.71</v>
      </c>
      <c r="BQ297">
        <f t="shared" si="4"/>
        <v>1139.7</v>
      </c>
      <c r="BR297" t="s">
        <v>343</v>
      </c>
    </row>
    <row r="298" spans="1:70">
      <c r="A298" t="s">
        <v>1532</v>
      </c>
      <c r="B298" t="s">
        <v>1533</v>
      </c>
      <c r="C298" t="s">
        <v>71</v>
      </c>
      <c r="D298" t="s">
        <v>289</v>
      </c>
      <c r="E298" t="s">
        <v>73</v>
      </c>
      <c r="F298" t="s">
        <v>74</v>
      </c>
      <c r="G298">
        <v>241002</v>
      </c>
      <c r="H298" t="s">
        <v>74</v>
      </c>
      <c r="I298" t="s">
        <v>75</v>
      </c>
      <c r="J298" t="s">
        <v>74</v>
      </c>
      <c r="K298" t="s">
        <v>1534</v>
      </c>
      <c r="L298" t="s">
        <v>77</v>
      </c>
      <c r="M298" t="s">
        <v>78</v>
      </c>
      <c r="N298" t="s">
        <v>250</v>
      </c>
      <c r="O298" t="s">
        <v>515</v>
      </c>
      <c r="P298" t="s">
        <v>1518</v>
      </c>
      <c r="X298">
        <v>20</v>
      </c>
      <c r="AF298" t="s">
        <v>384</v>
      </c>
      <c r="AG298" t="s">
        <v>296</v>
      </c>
      <c r="AH298" t="s">
        <v>384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3</v>
      </c>
      <c r="AT298">
        <v>0</v>
      </c>
      <c r="AU298">
        <v>0</v>
      </c>
      <c r="AV298">
        <v>525.79999999999995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923.8</v>
      </c>
      <c r="BE298">
        <v>0</v>
      </c>
      <c r="BF298">
        <v>800</v>
      </c>
      <c r="BG298">
        <v>0</v>
      </c>
      <c r="BH298">
        <v>0</v>
      </c>
      <c r="BI298">
        <v>160</v>
      </c>
      <c r="BJ298">
        <v>0</v>
      </c>
      <c r="BK298">
        <v>0</v>
      </c>
      <c r="BL298">
        <v>0</v>
      </c>
      <c r="BM298">
        <v>0</v>
      </c>
      <c r="BN298">
        <v>2412.6</v>
      </c>
      <c r="BO298">
        <v>386.02</v>
      </c>
      <c r="BP298">
        <v>75.47</v>
      </c>
      <c r="BQ298">
        <f t="shared" si="4"/>
        <v>2723.15</v>
      </c>
      <c r="BR298" t="s">
        <v>253</v>
      </c>
    </row>
    <row r="299" spans="1:70">
      <c r="A299" t="s">
        <v>1535</v>
      </c>
      <c r="B299" t="s">
        <v>1536</v>
      </c>
      <c r="C299" t="s">
        <v>71</v>
      </c>
      <c r="D299" t="s">
        <v>289</v>
      </c>
      <c r="E299" t="s">
        <v>73</v>
      </c>
      <c r="F299" t="s">
        <v>74</v>
      </c>
      <c r="G299">
        <v>241009</v>
      </c>
      <c r="H299" t="s">
        <v>74</v>
      </c>
      <c r="I299" t="s">
        <v>75</v>
      </c>
      <c r="J299" t="s">
        <v>74</v>
      </c>
      <c r="K299" t="s">
        <v>1537</v>
      </c>
      <c r="L299" t="s">
        <v>77</v>
      </c>
      <c r="M299" t="s">
        <v>78</v>
      </c>
      <c r="N299" t="s">
        <v>343</v>
      </c>
      <c r="O299" t="s">
        <v>1538</v>
      </c>
      <c r="P299" t="s">
        <v>1518</v>
      </c>
      <c r="X299">
        <v>13</v>
      </c>
      <c r="AF299" t="s">
        <v>434</v>
      </c>
      <c r="AG299" t="s">
        <v>296</v>
      </c>
      <c r="AH299" t="s">
        <v>434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1.95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200.85</v>
      </c>
      <c r="BE299">
        <v>0</v>
      </c>
      <c r="BF299">
        <v>520</v>
      </c>
      <c r="BG299">
        <v>0</v>
      </c>
      <c r="BH299">
        <v>0</v>
      </c>
      <c r="BI299">
        <v>104</v>
      </c>
      <c r="BJ299">
        <v>0</v>
      </c>
      <c r="BK299">
        <v>0</v>
      </c>
      <c r="BL299">
        <v>0</v>
      </c>
      <c r="BM299">
        <v>0</v>
      </c>
      <c r="BN299">
        <v>826.8</v>
      </c>
      <c r="BO299">
        <v>132.29</v>
      </c>
      <c r="BP299">
        <v>33.07</v>
      </c>
      <c r="BQ299">
        <f t="shared" si="4"/>
        <v>926.01999999999987</v>
      </c>
      <c r="BR299" t="s">
        <v>343</v>
      </c>
    </row>
    <row r="300" spans="1:70">
      <c r="A300" t="s">
        <v>1539</v>
      </c>
      <c r="B300" t="s">
        <v>1540</v>
      </c>
      <c r="C300" t="s">
        <v>71</v>
      </c>
      <c r="D300" t="s">
        <v>289</v>
      </c>
      <c r="E300" t="s">
        <v>73</v>
      </c>
      <c r="F300" t="s">
        <v>74</v>
      </c>
      <c r="G300">
        <v>241011</v>
      </c>
      <c r="H300" t="s">
        <v>74</v>
      </c>
      <c r="I300" t="s">
        <v>75</v>
      </c>
      <c r="J300" t="s">
        <v>74</v>
      </c>
      <c r="K300" t="s">
        <v>1541</v>
      </c>
      <c r="L300" t="s">
        <v>77</v>
      </c>
      <c r="M300" t="s">
        <v>78</v>
      </c>
      <c r="N300" t="s">
        <v>404</v>
      </c>
      <c r="O300" t="s">
        <v>1542</v>
      </c>
      <c r="P300" t="s">
        <v>1518</v>
      </c>
      <c r="X300">
        <v>11</v>
      </c>
      <c r="AF300" t="s">
        <v>470</v>
      </c>
      <c r="AG300" t="s">
        <v>296</v>
      </c>
      <c r="AH300" t="s">
        <v>470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1.65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169.95</v>
      </c>
      <c r="BE300">
        <v>0</v>
      </c>
      <c r="BF300">
        <v>440</v>
      </c>
      <c r="BG300">
        <v>0</v>
      </c>
      <c r="BH300">
        <v>0</v>
      </c>
      <c r="BI300">
        <v>88</v>
      </c>
      <c r="BJ300">
        <v>0</v>
      </c>
      <c r="BK300">
        <v>0</v>
      </c>
      <c r="BL300">
        <v>0</v>
      </c>
      <c r="BM300">
        <v>0</v>
      </c>
      <c r="BN300">
        <v>699.6</v>
      </c>
      <c r="BO300">
        <v>111.93</v>
      </c>
      <c r="BP300">
        <v>27.99</v>
      </c>
      <c r="BQ300">
        <f t="shared" si="4"/>
        <v>783.54</v>
      </c>
      <c r="BR300" t="s">
        <v>406</v>
      </c>
    </row>
    <row r="301" spans="1:70">
      <c r="A301" t="s">
        <v>1543</v>
      </c>
      <c r="B301" t="s">
        <v>1544</v>
      </c>
      <c r="C301" t="s">
        <v>71</v>
      </c>
      <c r="D301" t="s">
        <v>289</v>
      </c>
      <c r="E301" t="s">
        <v>73</v>
      </c>
      <c r="F301" t="s">
        <v>74</v>
      </c>
      <c r="G301">
        <v>241007</v>
      </c>
      <c r="H301" t="s">
        <v>74</v>
      </c>
      <c r="I301" t="s">
        <v>75</v>
      </c>
      <c r="J301" t="s">
        <v>74</v>
      </c>
      <c r="K301" t="s">
        <v>1545</v>
      </c>
      <c r="L301" t="s">
        <v>77</v>
      </c>
      <c r="M301" t="s">
        <v>78</v>
      </c>
      <c r="N301" t="s">
        <v>620</v>
      </c>
      <c r="O301" t="s">
        <v>1546</v>
      </c>
      <c r="P301" t="s">
        <v>1518</v>
      </c>
      <c r="Z301">
        <v>2</v>
      </c>
      <c r="AF301" t="s">
        <v>339</v>
      </c>
      <c r="AG301" t="s">
        <v>296</v>
      </c>
      <c r="AH301" t="s">
        <v>339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0.3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327.7</v>
      </c>
      <c r="BE301">
        <v>0</v>
      </c>
      <c r="BF301">
        <v>80</v>
      </c>
      <c r="BG301">
        <v>0</v>
      </c>
      <c r="BH301">
        <v>0</v>
      </c>
      <c r="BI301">
        <v>16</v>
      </c>
      <c r="BJ301">
        <v>0</v>
      </c>
      <c r="BK301">
        <v>0</v>
      </c>
      <c r="BL301">
        <v>0</v>
      </c>
      <c r="BM301">
        <v>0</v>
      </c>
      <c r="BN301">
        <v>424</v>
      </c>
      <c r="BO301">
        <v>67.84</v>
      </c>
      <c r="BP301">
        <v>16.96</v>
      </c>
      <c r="BQ301">
        <f t="shared" si="4"/>
        <v>474.88000000000005</v>
      </c>
      <c r="BR301" t="s">
        <v>83</v>
      </c>
    </row>
    <row r="302" spans="1:70">
      <c r="A302" t="s">
        <v>1547</v>
      </c>
      <c r="B302" t="s">
        <v>1548</v>
      </c>
      <c r="C302" t="s">
        <v>71</v>
      </c>
      <c r="D302" t="s">
        <v>289</v>
      </c>
      <c r="E302" t="s">
        <v>73</v>
      </c>
      <c r="F302" t="s">
        <v>74</v>
      </c>
      <c r="G302">
        <v>241022</v>
      </c>
      <c r="H302" t="s">
        <v>74</v>
      </c>
      <c r="I302" t="s">
        <v>75</v>
      </c>
      <c r="J302" t="s">
        <v>74</v>
      </c>
      <c r="K302" t="s">
        <v>1549</v>
      </c>
      <c r="L302" t="s">
        <v>77</v>
      </c>
      <c r="M302" t="s">
        <v>78</v>
      </c>
      <c r="N302" t="s">
        <v>649</v>
      </c>
      <c r="O302" t="s">
        <v>1550</v>
      </c>
      <c r="P302" t="s">
        <v>139</v>
      </c>
      <c r="AD302">
        <v>4</v>
      </c>
      <c r="AF302" t="s">
        <v>326</v>
      </c>
      <c r="AG302" t="s">
        <v>296</v>
      </c>
      <c r="AH302" t="s">
        <v>326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0.6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231.4</v>
      </c>
      <c r="BE302">
        <v>0</v>
      </c>
      <c r="BF302">
        <v>160</v>
      </c>
      <c r="BG302">
        <v>0</v>
      </c>
      <c r="BH302">
        <v>0</v>
      </c>
      <c r="BI302">
        <v>32</v>
      </c>
      <c r="BJ302">
        <v>0</v>
      </c>
      <c r="BK302">
        <v>0</v>
      </c>
      <c r="BL302">
        <v>0</v>
      </c>
      <c r="BM302">
        <v>0</v>
      </c>
      <c r="BN302">
        <v>424</v>
      </c>
      <c r="BO302">
        <v>67.84</v>
      </c>
      <c r="BP302">
        <v>16.96</v>
      </c>
      <c r="BQ302">
        <f t="shared" si="4"/>
        <v>474.88000000000005</v>
      </c>
      <c r="BR302" t="s">
        <v>649</v>
      </c>
    </row>
    <row r="303" spans="1:70">
      <c r="A303" t="s">
        <v>1551</v>
      </c>
      <c r="B303" t="s">
        <v>1552</v>
      </c>
      <c r="C303" t="s">
        <v>71</v>
      </c>
      <c r="D303" t="s">
        <v>289</v>
      </c>
      <c r="E303" t="s">
        <v>73</v>
      </c>
      <c r="F303" t="s">
        <v>74</v>
      </c>
      <c r="G303">
        <v>241031</v>
      </c>
      <c r="H303" t="s">
        <v>74</v>
      </c>
      <c r="I303" t="s">
        <v>75</v>
      </c>
      <c r="J303" t="s">
        <v>74</v>
      </c>
      <c r="K303" t="s">
        <v>1553</v>
      </c>
      <c r="L303" t="s">
        <v>77</v>
      </c>
      <c r="M303" t="s">
        <v>78</v>
      </c>
      <c r="N303" t="s">
        <v>258</v>
      </c>
      <c r="O303" t="s">
        <v>1554</v>
      </c>
      <c r="P303" t="s">
        <v>139</v>
      </c>
      <c r="X303">
        <v>25</v>
      </c>
      <c r="AF303" t="s">
        <v>717</v>
      </c>
      <c r="AG303" t="s">
        <v>296</v>
      </c>
      <c r="AH303" t="s">
        <v>717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3.75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1154.75</v>
      </c>
      <c r="BE303">
        <v>0</v>
      </c>
      <c r="BF303">
        <v>1000</v>
      </c>
      <c r="BG303">
        <v>0</v>
      </c>
      <c r="BH303">
        <v>0</v>
      </c>
      <c r="BI303">
        <v>200</v>
      </c>
      <c r="BJ303">
        <v>0</v>
      </c>
      <c r="BK303">
        <v>0</v>
      </c>
      <c r="BL303">
        <v>0</v>
      </c>
      <c r="BM303">
        <v>0</v>
      </c>
      <c r="BN303">
        <v>2358.5</v>
      </c>
      <c r="BO303">
        <v>377.36</v>
      </c>
      <c r="BP303">
        <v>94.34</v>
      </c>
      <c r="BQ303">
        <f t="shared" si="4"/>
        <v>2641.52</v>
      </c>
      <c r="BR303" t="s">
        <v>258</v>
      </c>
    </row>
    <row r="304" spans="1:70">
      <c r="A304" t="s">
        <v>1555</v>
      </c>
      <c r="B304" t="s">
        <v>1556</v>
      </c>
      <c r="C304" t="s">
        <v>71</v>
      </c>
      <c r="D304" t="s">
        <v>289</v>
      </c>
      <c r="E304" t="s">
        <v>73</v>
      </c>
      <c r="F304" t="s">
        <v>74</v>
      </c>
      <c r="G304">
        <v>241036</v>
      </c>
      <c r="H304" t="s">
        <v>74</v>
      </c>
      <c r="I304" t="s">
        <v>75</v>
      </c>
      <c r="J304" t="s">
        <v>74</v>
      </c>
      <c r="K304" t="s">
        <v>1557</v>
      </c>
      <c r="L304" t="s">
        <v>77</v>
      </c>
      <c r="M304" t="s">
        <v>78</v>
      </c>
      <c r="N304" t="s">
        <v>748</v>
      </c>
      <c r="O304" t="s">
        <v>1026</v>
      </c>
      <c r="P304" t="s">
        <v>139</v>
      </c>
      <c r="X304">
        <v>6</v>
      </c>
      <c r="AF304" t="s">
        <v>400</v>
      </c>
      <c r="AG304" t="s">
        <v>296</v>
      </c>
      <c r="AH304" t="s">
        <v>400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0.9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92.7</v>
      </c>
      <c r="BE304">
        <v>0</v>
      </c>
      <c r="BF304">
        <v>240</v>
      </c>
      <c r="BG304">
        <v>0</v>
      </c>
      <c r="BH304">
        <v>0</v>
      </c>
      <c r="BI304">
        <v>48</v>
      </c>
      <c r="BJ304">
        <v>0</v>
      </c>
      <c r="BK304">
        <v>0</v>
      </c>
      <c r="BL304">
        <v>0</v>
      </c>
      <c r="BM304">
        <v>0</v>
      </c>
      <c r="BN304">
        <v>381.6</v>
      </c>
      <c r="BO304">
        <v>61.05</v>
      </c>
      <c r="BP304">
        <v>15.27</v>
      </c>
      <c r="BQ304">
        <f t="shared" si="4"/>
        <v>427.38000000000005</v>
      </c>
      <c r="BR304" t="s">
        <v>748</v>
      </c>
    </row>
    <row r="305" spans="1:70">
      <c r="A305" t="s">
        <v>1558</v>
      </c>
      <c r="B305" t="s">
        <v>1559</v>
      </c>
      <c r="C305" t="s">
        <v>71</v>
      </c>
      <c r="D305" t="s">
        <v>289</v>
      </c>
      <c r="E305" t="s">
        <v>73</v>
      </c>
      <c r="F305" t="s">
        <v>74</v>
      </c>
      <c r="G305">
        <v>241037</v>
      </c>
      <c r="H305" t="s">
        <v>74</v>
      </c>
      <c r="I305" t="s">
        <v>75</v>
      </c>
      <c r="J305" t="s">
        <v>74</v>
      </c>
      <c r="K305" t="s">
        <v>1560</v>
      </c>
      <c r="L305" t="s">
        <v>77</v>
      </c>
      <c r="M305" t="s">
        <v>78</v>
      </c>
      <c r="N305" t="s">
        <v>343</v>
      </c>
      <c r="O305" t="s">
        <v>1275</v>
      </c>
      <c r="P305" t="s">
        <v>139</v>
      </c>
      <c r="Z305">
        <v>2</v>
      </c>
      <c r="AF305" t="s">
        <v>339</v>
      </c>
      <c r="AG305" t="s">
        <v>296</v>
      </c>
      <c r="AH305" t="s">
        <v>339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0.3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327.7</v>
      </c>
      <c r="BE305">
        <v>0</v>
      </c>
      <c r="BF305">
        <v>80</v>
      </c>
      <c r="BG305">
        <v>0</v>
      </c>
      <c r="BH305">
        <v>0</v>
      </c>
      <c r="BI305">
        <v>16</v>
      </c>
      <c r="BJ305">
        <v>0</v>
      </c>
      <c r="BK305">
        <v>0</v>
      </c>
      <c r="BL305">
        <v>0</v>
      </c>
      <c r="BM305">
        <v>0</v>
      </c>
      <c r="BN305">
        <v>424</v>
      </c>
      <c r="BO305">
        <v>67.84</v>
      </c>
      <c r="BP305">
        <v>16.96</v>
      </c>
      <c r="BQ305">
        <f t="shared" si="4"/>
        <v>474.88000000000005</v>
      </c>
      <c r="BR305" t="s">
        <v>343</v>
      </c>
    </row>
    <row r="306" spans="1:70">
      <c r="A306" t="s">
        <v>1561</v>
      </c>
      <c r="B306" t="s">
        <v>1562</v>
      </c>
      <c r="C306" t="s">
        <v>71</v>
      </c>
      <c r="D306" t="s">
        <v>289</v>
      </c>
      <c r="E306" t="s">
        <v>73</v>
      </c>
      <c r="F306" t="s">
        <v>74</v>
      </c>
      <c r="G306">
        <v>241046</v>
      </c>
      <c r="H306" t="s">
        <v>74</v>
      </c>
      <c r="I306" t="s">
        <v>75</v>
      </c>
      <c r="J306" t="s">
        <v>74</v>
      </c>
      <c r="K306" t="s">
        <v>1563</v>
      </c>
      <c r="L306" t="s">
        <v>77</v>
      </c>
      <c r="M306" t="s">
        <v>78</v>
      </c>
      <c r="N306" t="s">
        <v>79</v>
      </c>
      <c r="O306" t="s">
        <v>190</v>
      </c>
      <c r="P306" t="s">
        <v>139</v>
      </c>
      <c r="X306">
        <v>9</v>
      </c>
      <c r="AF306" t="s">
        <v>407</v>
      </c>
      <c r="AG306" t="s">
        <v>296</v>
      </c>
      <c r="AH306" t="s">
        <v>407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1.35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139.05000000000001</v>
      </c>
      <c r="BE306">
        <v>0</v>
      </c>
      <c r="BF306">
        <v>360</v>
      </c>
      <c r="BG306">
        <v>0</v>
      </c>
      <c r="BH306">
        <v>0</v>
      </c>
      <c r="BI306">
        <v>72</v>
      </c>
      <c r="BJ306">
        <v>0</v>
      </c>
      <c r="BK306">
        <v>0</v>
      </c>
      <c r="BL306">
        <v>0</v>
      </c>
      <c r="BM306">
        <v>0</v>
      </c>
      <c r="BN306">
        <v>572.4</v>
      </c>
      <c r="BO306">
        <v>91.59</v>
      </c>
      <c r="BP306">
        <v>22.89</v>
      </c>
      <c r="BQ306">
        <f t="shared" si="4"/>
        <v>641.1</v>
      </c>
      <c r="BR306" t="s">
        <v>83</v>
      </c>
    </row>
    <row r="307" spans="1:70">
      <c r="A307" t="s">
        <v>1564</v>
      </c>
      <c r="B307" t="s">
        <v>1565</v>
      </c>
      <c r="C307" t="s">
        <v>71</v>
      </c>
      <c r="D307" t="s">
        <v>289</v>
      </c>
      <c r="E307" t="s">
        <v>73</v>
      </c>
      <c r="F307" t="s">
        <v>74</v>
      </c>
      <c r="G307">
        <v>241047</v>
      </c>
      <c r="H307" t="s">
        <v>74</v>
      </c>
      <c r="I307" t="s">
        <v>75</v>
      </c>
      <c r="J307" t="s">
        <v>74</v>
      </c>
      <c r="K307" t="s">
        <v>1566</v>
      </c>
      <c r="L307" t="s">
        <v>77</v>
      </c>
      <c r="M307" t="s">
        <v>78</v>
      </c>
      <c r="N307" t="s">
        <v>1522</v>
      </c>
      <c r="O307" t="s">
        <v>1523</v>
      </c>
      <c r="P307" t="s">
        <v>139</v>
      </c>
      <c r="X307">
        <v>8</v>
      </c>
      <c r="AF307" t="s">
        <v>1006</v>
      </c>
      <c r="AG307" t="s">
        <v>296</v>
      </c>
      <c r="AH307" t="s">
        <v>1006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1.2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123.6</v>
      </c>
      <c r="BE307">
        <v>0</v>
      </c>
      <c r="BF307">
        <v>320</v>
      </c>
      <c r="BG307">
        <v>0</v>
      </c>
      <c r="BH307">
        <v>0</v>
      </c>
      <c r="BI307">
        <v>64</v>
      </c>
      <c r="BJ307">
        <v>0</v>
      </c>
      <c r="BK307">
        <v>0</v>
      </c>
      <c r="BL307">
        <v>0</v>
      </c>
      <c r="BM307">
        <v>0</v>
      </c>
      <c r="BN307">
        <v>508.8</v>
      </c>
      <c r="BO307">
        <v>81.41</v>
      </c>
      <c r="BP307">
        <v>20.350000000000001</v>
      </c>
      <c r="BQ307">
        <f t="shared" si="4"/>
        <v>569.86</v>
      </c>
      <c r="BR307" t="s">
        <v>365</v>
      </c>
    </row>
    <row r="308" spans="1:70">
      <c r="A308" t="s">
        <v>1567</v>
      </c>
      <c r="B308" t="s">
        <v>1568</v>
      </c>
      <c r="C308" t="s">
        <v>71</v>
      </c>
      <c r="D308" t="s">
        <v>289</v>
      </c>
      <c r="E308" t="s">
        <v>73</v>
      </c>
      <c r="F308" t="s">
        <v>74</v>
      </c>
      <c r="G308">
        <v>241058</v>
      </c>
      <c r="H308" t="s">
        <v>74</v>
      </c>
      <c r="I308" t="s">
        <v>75</v>
      </c>
      <c r="J308" t="s">
        <v>74</v>
      </c>
      <c r="K308" t="s">
        <v>1569</v>
      </c>
      <c r="L308" t="s">
        <v>77</v>
      </c>
      <c r="M308" t="s">
        <v>78</v>
      </c>
      <c r="N308" t="s">
        <v>1570</v>
      </c>
      <c r="O308" t="s">
        <v>1571</v>
      </c>
      <c r="P308" t="s">
        <v>139</v>
      </c>
      <c r="X308">
        <v>13</v>
      </c>
      <c r="AF308" t="s">
        <v>434</v>
      </c>
      <c r="AG308" t="s">
        <v>296</v>
      </c>
      <c r="AH308" t="s">
        <v>434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1.95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600.47</v>
      </c>
      <c r="BE308">
        <v>0</v>
      </c>
      <c r="BF308">
        <v>520</v>
      </c>
      <c r="BG308">
        <v>0</v>
      </c>
      <c r="BH308">
        <v>0</v>
      </c>
      <c r="BI308">
        <v>104</v>
      </c>
      <c r="BJ308">
        <v>0</v>
      </c>
      <c r="BK308">
        <v>0</v>
      </c>
      <c r="BL308">
        <v>0</v>
      </c>
      <c r="BM308">
        <v>0</v>
      </c>
      <c r="BN308">
        <v>1226.42</v>
      </c>
      <c r="BO308">
        <v>196.23</v>
      </c>
      <c r="BP308">
        <v>49.06</v>
      </c>
      <c r="BQ308">
        <f t="shared" si="4"/>
        <v>1373.5900000000001</v>
      </c>
      <c r="BR308" t="s">
        <v>1570</v>
      </c>
    </row>
    <row r="309" spans="1:70">
      <c r="A309" t="s">
        <v>1572</v>
      </c>
      <c r="B309" t="s">
        <v>1573</v>
      </c>
      <c r="C309" t="s">
        <v>71</v>
      </c>
      <c r="D309" t="s">
        <v>289</v>
      </c>
      <c r="E309" t="s">
        <v>73</v>
      </c>
      <c r="F309" t="s">
        <v>74</v>
      </c>
      <c r="G309">
        <v>241059</v>
      </c>
      <c r="H309" t="s">
        <v>74</v>
      </c>
      <c r="I309" t="s">
        <v>75</v>
      </c>
      <c r="J309" t="s">
        <v>74</v>
      </c>
      <c r="K309" t="s">
        <v>1574</v>
      </c>
      <c r="L309" t="s">
        <v>77</v>
      </c>
      <c r="M309" t="s">
        <v>78</v>
      </c>
      <c r="N309" t="s">
        <v>438</v>
      </c>
      <c r="O309" t="s">
        <v>1575</v>
      </c>
      <c r="P309" t="s">
        <v>139</v>
      </c>
      <c r="X309">
        <v>6</v>
      </c>
      <c r="AF309" t="s">
        <v>400</v>
      </c>
      <c r="AG309" t="s">
        <v>296</v>
      </c>
      <c r="AH309" t="s">
        <v>400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0.9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92.7</v>
      </c>
      <c r="BE309">
        <v>0</v>
      </c>
      <c r="BF309">
        <v>240</v>
      </c>
      <c r="BG309">
        <v>0</v>
      </c>
      <c r="BH309">
        <v>0</v>
      </c>
      <c r="BI309">
        <v>48</v>
      </c>
      <c r="BJ309">
        <v>0</v>
      </c>
      <c r="BK309">
        <v>0</v>
      </c>
      <c r="BL309">
        <v>0</v>
      </c>
      <c r="BM309">
        <v>0</v>
      </c>
      <c r="BN309">
        <v>381.6</v>
      </c>
      <c r="BO309">
        <v>61.05</v>
      </c>
      <c r="BP309">
        <v>15.27</v>
      </c>
      <c r="BQ309">
        <f t="shared" si="4"/>
        <v>427.38000000000005</v>
      </c>
      <c r="BR309" t="s">
        <v>440</v>
      </c>
    </row>
    <row r="310" spans="1:70">
      <c r="A310" t="s">
        <v>1576</v>
      </c>
      <c r="B310" t="s">
        <v>1577</v>
      </c>
      <c r="C310" t="s">
        <v>71</v>
      </c>
      <c r="D310" t="s">
        <v>289</v>
      </c>
      <c r="E310" t="s">
        <v>73</v>
      </c>
      <c r="F310" t="s">
        <v>74</v>
      </c>
      <c r="G310">
        <v>241061</v>
      </c>
      <c r="H310" t="s">
        <v>74</v>
      </c>
      <c r="I310" t="s">
        <v>75</v>
      </c>
      <c r="J310" t="s">
        <v>74</v>
      </c>
      <c r="K310" t="s">
        <v>1578</v>
      </c>
      <c r="L310" t="s">
        <v>77</v>
      </c>
      <c r="M310" t="s">
        <v>78</v>
      </c>
      <c r="N310" t="s">
        <v>832</v>
      </c>
      <c r="O310" t="s">
        <v>1579</v>
      </c>
      <c r="P310" t="s">
        <v>139</v>
      </c>
      <c r="X310">
        <v>19</v>
      </c>
      <c r="AF310" t="s">
        <v>569</v>
      </c>
      <c r="AG310" t="s">
        <v>296</v>
      </c>
      <c r="AH310" t="s">
        <v>569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2.85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293.55</v>
      </c>
      <c r="BE310">
        <v>0</v>
      </c>
      <c r="BF310">
        <v>760</v>
      </c>
      <c r="BG310">
        <v>0</v>
      </c>
      <c r="BH310">
        <v>0</v>
      </c>
      <c r="BI310">
        <v>152</v>
      </c>
      <c r="BJ310">
        <v>0</v>
      </c>
      <c r="BK310">
        <v>0</v>
      </c>
      <c r="BL310">
        <v>0</v>
      </c>
      <c r="BM310">
        <v>0</v>
      </c>
      <c r="BN310">
        <v>1208.4000000000001</v>
      </c>
      <c r="BO310">
        <v>193.35</v>
      </c>
      <c r="BP310">
        <v>48.33</v>
      </c>
      <c r="BQ310">
        <f t="shared" si="4"/>
        <v>1353.42</v>
      </c>
      <c r="BR310" t="s">
        <v>832</v>
      </c>
    </row>
    <row r="311" spans="1:70">
      <c r="A311" t="s">
        <v>1580</v>
      </c>
      <c r="B311" t="s">
        <v>1581</v>
      </c>
      <c r="C311" t="s">
        <v>71</v>
      </c>
      <c r="D311" t="s">
        <v>289</v>
      </c>
      <c r="E311" t="s">
        <v>73</v>
      </c>
      <c r="F311" t="s">
        <v>74</v>
      </c>
      <c r="G311">
        <v>241064</v>
      </c>
      <c r="H311" t="s">
        <v>74</v>
      </c>
      <c r="I311" t="s">
        <v>75</v>
      </c>
      <c r="J311" t="s">
        <v>74</v>
      </c>
      <c r="K311" t="s">
        <v>1582</v>
      </c>
      <c r="L311" t="s">
        <v>77</v>
      </c>
      <c r="M311" t="s">
        <v>78</v>
      </c>
      <c r="N311" t="s">
        <v>191</v>
      </c>
      <c r="O311" t="s">
        <v>1583</v>
      </c>
      <c r="P311" t="s">
        <v>139</v>
      </c>
      <c r="X311">
        <v>12</v>
      </c>
      <c r="AF311" t="s">
        <v>379</v>
      </c>
      <c r="AG311" t="s">
        <v>296</v>
      </c>
      <c r="AH311" t="s">
        <v>379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1.8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554.28</v>
      </c>
      <c r="BE311">
        <v>0</v>
      </c>
      <c r="BF311">
        <v>480</v>
      </c>
      <c r="BG311">
        <v>0</v>
      </c>
      <c r="BH311">
        <v>0</v>
      </c>
      <c r="BI311">
        <v>96</v>
      </c>
      <c r="BJ311">
        <v>0</v>
      </c>
      <c r="BK311">
        <v>0</v>
      </c>
      <c r="BL311">
        <v>0</v>
      </c>
      <c r="BM311">
        <v>0</v>
      </c>
      <c r="BN311">
        <v>1132.08</v>
      </c>
      <c r="BO311">
        <v>181.13</v>
      </c>
      <c r="BP311">
        <v>45.28</v>
      </c>
      <c r="BQ311">
        <f t="shared" si="4"/>
        <v>1267.93</v>
      </c>
      <c r="BR311" t="s">
        <v>195</v>
      </c>
    </row>
    <row r="312" spans="1:70">
      <c r="A312" t="s">
        <v>1584</v>
      </c>
      <c r="B312" t="s">
        <v>1585</v>
      </c>
      <c r="C312" t="s">
        <v>71</v>
      </c>
      <c r="D312" t="s">
        <v>289</v>
      </c>
      <c r="E312" t="s">
        <v>73</v>
      </c>
      <c r="F312" t="s">
        <v>74</v>
      </c>
      <c r="G312">
        <v>241065</v>
      </c>
      <c r="H312" t="s">
        <v>74</v>
      </c>
      <c r="I312" t="s">
        <v>75</v>
      </c>
      <c r="J312" t="s">
        <v>74</v>
      </c>
      <c r="K312" t="s">
        <v>1586</v>
      </c>
      <c r="L312" t="s">
        <v>77</v>
      </c>
      <c r="M312" t="s">
        <v>78</v>
      </c>
      <c r="N312" t="s">
        <v>1587</v>
      </c>
      <c r="O312" t="s">
        <v>1588</v>
      </c>
      <c r="P312" t="s">
        <v>139</v>
      </c>
      <c r="X312">
        <v>13</v>
      </c>
      <c r="AF312" t="s">
        <v>434</v>
      </c>
      <c r="AG312" t="s">
        <v>296</v>
      </c>
      <c r="AH312" t="s">
        <v>434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1.95</v>
      </c>
      <c r="AT312">
        <v>0</v>
      </c>
      <c r="AU312">
        <v>0</v>
      </c>
      <c r="AV312">
        <v>341.77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600.47</v>
      </c>
      <c r="BE312">
        <v>0</v>
      </c>
      <c r="BF312">
        <v>520</v>
      </c>
      <c r="BG312">
        <v>0</v>
      </c>
      <c r="BH312">
        <v>0</v>
      </c>
      <c r="BI312">
        <v>104</v>
      </c>
      <c r="BJ312">
        <v>0</v>
      </c>
      <c r="BK312">
        <v>0</v>
      </c>
      <c r="BL312">
        <v>0</v>
      </c>
      <c r="BM312">
        <v>0</v>
      </c>
      <c r="BN312">
        <v>1568.19</v>
      </c>
      <c r="BO312">
        <v>250.91</v>
      </c>
      <c r="BP312">
        <v>49.06</v>
      </c>
      <c r="BQ312">
        <f t="shared" si="4"/>
        <v>1770.0400000000002</v>
      </c>
      <c r="BR312" t="s">
        <v>1589</v>
      </c>
    </row>
    <row r="313" spans="1:70">
      <c r="A313" t="s">
        <v>1590</v>
      </c>
      <c r="B313" t="s">
        <v>1591</v>
      </c>
      <c r="C313" t="s">
        <v>71</v>
      </c>
      <c r="D313" t="s">
        <v>289</v>
      </c>
      <c r="E313" t="s">
        <v>73</v>
      </c>
      <c r="F313" t="s">
        <v>74</v>
      </c>
      <c r="G313" t="s">
        <v>1592</v>
      </c>
      <c r="H313" t="s">
        <v>74</v>
      </c>
      <c r="I313" t="s">
        <v>75</v>
      </c>
      <c r="K313" t="s">
        <v>1593</v>
      </c>
      <c r="L313" t="s">
        <v>77</v>
      </c>
      <c r="M313" t="s">
        <v>78</v>
      </c>
      <c r="N313" t="s">
        <v>438</v>
      </c>
      <c r="O313" t="s">
        <v>1594</v>
      </c>
      <c r="P313" t="s">
        <v>139</v>
      </c>
      <c r="X313">
        <v>15</v>
      </c>
      <c r="AF313" t="s">
        <v>235</v>
      </c>
      <c r="AG313" t="s">
        <v>296</v>
      </c>
      <c r="AH313" t="s">
        <v>235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2.25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231.75</v>
      </c>
      <c r="BE313">
        <v>0</v>
      </c>
      <c r="BF313">
        <v>600</v>
      </c>
      <c r="BG313">
        <v>0</v>
      </c>
      <c r="BH313">
        <v>0</v>
      </c>
      <c r="BI313">
        <v>120</v>
      </c>
      <c r="BJ313">
        <v>0</v>
      </c>
      <c r="BK313">
        <v>0</v>
      </c>
      <c r="BL313">
        <v>0</v>
      </c>
      <c r="BM313">
        <v>0</v>
      </c>
      <c r="BN313">
        <v>954</v>
      </c>
      <c r="BO313">
        <v>152.63999999999999</v>
      </c>
      <c r="BP313">
        <v>38.159999999999997</v>
      </c>
      <c r="BQ313">
        <f t="shared" si="4"/>
        <v>1068.4799999999998</v>
      </c>
      <c r="BR313" t="s">
        <v>440</v>
      </c>
    </row>
    <row r="314" spans="1:70">
      <c r="A314" t="s">
        <v>1595</v>
      </c>
      <c r="B314" t="s">
        <v>1596</v>
      </c>
      <c r="C314" t="s">
        <v>71</v>
      </c>
      <c r="D314" t="s">
        <v>289</v>
      </c>
      <c r="E314" t="s">
        <v>73</v>
      </c>
      <c r="F314" t="s">
        <v>74</v>
      </c>
      <c r="G314">
        <v>241070</v>
      </c>
      <c r="H314" t="s">
        <v>74</v>
      </c>
      <c r="I314" t="s">
        <v>75</v>
      </c>
      <c r="K314" t="s">
        <v>1597</v>
      </c>
      <c r="L314" t="s">
        <v>77</v>
      </c>
      <c r="M314" t="s">
        <v>78</v>
      </c>
      <c r="N314" t="s">
        <v>1598</v>
      </c>
      <c r="O314" t="s">
        <v>1599</v>
      </c>
      <c r="P314" t="s">
        <v>139</v>
      </c>
      <c r="X314">
        <v>12</v>
      </c>
      <c r="AF314" t="s">
        <v>379</v>
      </c>
      <c r="AG314" t="s">
        <v>296</v>
      </c>
      <c r="AH314" t="s">
        <v>379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1.8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185.4</v>
      </c>
      <c r="BE314">
        <v>0</v>
      </c>
      <c r="BF314">
        <v>480</v>
      </c>
      <c r="BG314">
        <v>0</v>
      </c>
      <c r="BH314">
        <v>0</v>
      </c>
      <c r="BI314">
        <v>96</v>
      </c>
      <c r="BJ314">
        <v>0</v>
      </c>
      <c r="BK314">
        <v>0</v>
      </c>
      <c r="BL314">
        <v>0</v>
      </c>
      <c r="BM314">
        <v>0</v>
      </c>
      <c r="BN314">
        <v>763.2</v>
      </c>
      <c r="BO314">
        <v>122.11</v>
      </c>
      <c r="BP314">
        <v>30.53</v>
      </c>
      <c r="BQ314">
        <f t="shared" si="4"/>
        <v>854.78000000000009</v>
      </c>
      <c r="BR314" t="s">
        <v>406</v>
      </c>
    </row>
    <row r="315" spans="1:70">
      <c r="A315" t="s">
        <v>1600</v>
      </c>
      <c r="B315" t="s">
        <v>1601</v>
      </c>
      <c r="C315" t="s">
        <v>71</v>
      </c>
      <c r="D315" t="s">
        <v>289</v>
      </c>
      <c r="E315" t="s">
        <v>73</v>
      </c>
      <c r="F315" t="s">
        <v>74</v>
      </c>
      <c r="G315">
        <v>241071</v>
      </c>
      <c r="H315" t="s">
        <v>74</v>
      </c>
      <c r="I315" t="s">
        <v>75</v>
      </c>
      <c r="J315" t="s">
        <v>74</v>
      </c>
      <c r="K315" t="s">
        <v>1602</v>
      </c>
      <c r="L315" t="s">
        <v>77</v>
      </c>
      <c r="M315" t="s">
        <v>78</v>
      </c>
      <c r="N315" t="s">
        <v>1603</v>
      </c>
      <c r="O315" t="s">
        <v>1604</v>
      </c>
      <c r="P315" t="s">
        <v>139</v>
      </c>
      <c r="X315">
        <v>15</v>
      </c>
      <c r="AF315" t="s">
        <v>235</v>
      </c>
      <c r="AG315" t="s">
        <v>296</v>
      </c>
      <c r="AH315" t="s">
        <v>235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2.25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692.85</v>
      </c>
      <c r="BE315">
        <v>0</v>
      </c>
      <c r="BF315">
        <v>600</v>
      </c>
      <c r="BG315">
        <v>0</v>
      </c>
      <c r="BH315">
        <v>0</v>
      </c>
      <c r="BI315">
        <v>120</v>
      </c>
      <c r="BJ315">
        <v>0</v>
      </c>
      <c r="BK315">
        <v>0</v>
      </c>
      <c r="BL315">
        <v>0</v>
      </c>
      <c r="BM315">
        <v>0</v>
      </c>
      <c r="BN315">
        <v>1415.1</v>
      </c>
      <c r="BO315">
        <v>226.42</v>
      </c>
      <c r="BP315">
        <v>56.6</v>
      </c>
      <c r="BQ315">
        <f t="shared" si="4"/>
        <v>1584.92</v>
      </c>
      <c r="BR315" t="s">
        <v>1605</v>
      </c>
    </row>
    <row r="316" spans="1:70">
      <c r="A316" t="s">
        <v>1606</v>
      </c>
      <c r="B316" t="s">
        <v>1607</v>
      </c>
      <c r="C316" t="s">
        <v>71</v>
      </c>
      <c r="D316" t="s">
        <v>289</v>
      </c>
      <c r="E316" t="s">
        <v>73</v>
      </c>
      <c r="F316" t="s">
        <v>74</v>
      </c>
      <c r="G316">
        <v>240993</v>
      </c>
      <c r="H316" t="s">
        <v>74</v>
      </c>
      <c r="I316" t="s">
        <v>75</v>
      </c>
      <c r="J316" t="s">
        <v>74</v>
      </c>
      <c r="K316" t="s">
        <v>1608</v>
      </c>
      <c r="L316" t="s">
        <v>77</v>
      </c>
      <c r="M316" t="s">
        <v>78</v>
      </c>
      <c r="N316" t="s">
        <v>137</v>
      </c>
      <c r="O316" t="s">
        <v>138</v>
      </c>
      <c r="P316" t="s">
        <v>139</v>
      </c>
      <c r="X316">
        <v>53</v>
      </c>
      <c r="AF316" t="s">
        <v>1609</v>
      </c>
      <c r="AG316" t="s">
        <v>296</v>
      </c>
      <c r="AH316" t="s">
        <v>1609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7.95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2448.0700000000002</v>
      </c>
      <c r="BE316">
        <v>0</v>
      </c>
      <c r="BF316">
        <v>2120</v>
      </c>
      <c r="BG316">
        <v>0</v>
      </c>
      <c r="BH316">
        <v>0</v>
      </c>
      <c r="BI316">
        <v>424</v>
      </c>
      <c r="BJ316">
        <v>0</v>
      </c>
      <c r="BK316">
        <v>0</v>
      </c>
      <c r="BL316">
        <v>0</v>
      </c>
      <c r="BM316">
        <v>0</v>
      </c>
      <c r="BN316">
        <v>5000.0200000000004</v>
      </c>
      <c r="BO316">
        <v>800</v>
      </c>
      <c r="BP316">
        <v>200</v>
      </c>
      <c r="BQ316">
        <f t="shared" si="4"/>
        <v>5600.02</v>
      </c>
      <c r="BR316" t="s">
        <v>141</v>
      </c>
    </row>
    <row r="317" spans="1:70">
      <c r="A317" t="s">
        <v>1610</v>
      </c>
      <c r="B317" t="s">
        <v>1611</v>
      </c>
      <c r="C317" t="s">
        <v>71</v>
      </c>
      <c r="D317" t="s">
        <v>289</v>
      </c>
      <c r="E317" t="s">
        <v>73</v>
      </c>
      <c r="F317" t="s">
        <v>74</v>
      </c>
      <c r="G317">
        <v>241126</v>
      </c>
      <c r="H317" t="s">
        <v>74</v>
      </c>
      <c r="I317" t="s">
        <v>75</v>
      </c>
      <c r="J317" t="s">
        <v>74</v>
      </c>
      <c r="K317" t="s">
        <v>1612</v>
      </c>
      <c r="L317" t="s">
        <v>77</v>
      </c>
      <c r="M317" t="s">
        <v>78</v>
      </c>
      <c r="N317" t="s">
        <v>349</v>
      </c>
      <c r="O317" t="s">
        <v>1613</v>
      </c>
      <c r="P317" t="s">
        <v>152</v>
      </c>
      <c r="X317">
        <v>13</v>
      </c>
      <c r="AF317" t="s">
        <v>434</v>
      </c>
      <c r="AG317" t="s">
        <v>296</v>
      </c>
      <c r="AH317" t="s">
        <v>434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1.95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600.47</v>
      </c>
      <c r="BE317">
        <v>0</v>
      </c>
      <c r="BF317">
        <v>520</v>
      </c>
      <c r="BG317">
        <v>0</v>
      </c>
      <c r="BH317">
        <v>0</v>
      </c>
      <c r="BI317">
        <v>104</v>
      </c>
      <c r="BJ317">
        <v>0</v>
      </c>
      <c r="BK317">
        <v>0</v>
      </c>
      <c r="BL317">
        <v>0</v>
      </c>
      <c r="BM317">
        <v>0</v>
      </c>
      <c r="BN317">
        <v>1226.42</v>
      </c>
      <c r="BO317">
        <v>196.23</v>
      </c>
      <c r="BP317">
        <v>49.06</v>
      </c>
      <c r="BQ317">
        <f t="shared" si="4"/>
        <v>1373.5900000000001</v>
      </c>
      <c r="BR317" t="s">
        <v>349</v>
      </c>
    </row>
    <row r="318" spans="1:70">
      <c r="A318" t="s">
        <v>1614</v>
      </c>
      <c r="B318" t="s">
        <v>1615</v>
      </c>
      <c r="C318" t="s">
        <v>71</v>
      </c>
      <c r="D318" t="s">
        <v>289</v>
      </c>
      <c r="E318" t="s">
        <v>73</v>
      </c>
      <c r="F318" t="s">
        <v>74</v>
      </c>
      <c r="G318">
        <v>219083</v>
      </c>
      <c r="H318" t="s">
        <v>74</v>
      </c>
      <c r="I318" t="s">
        <v>75</v>
      </c>
      <c r="J318" t="s">
        <v>74</v>
      </c>
      <c r="K318" t="s">
        <v>1616</v>
      </c>
      <c r="L318" t="s">
        <v>77</v>
      </c>
      <c r="M318" t="s">
        <v>78</v>
      </c>
      <c r="N318" t="s">
        <v>161</v>
      </c>
      <c r="O318" t="s">
        <v>837</v>
      </c>
      <c r="P318" t="s">
        <v>152</v>
      </c>
      <c r="X318">
        <v>12</v>
      </c>
      <c r="AF318" t="s">
        <v>379</v>
      </c>
      <c r="AG318" t="s">
        <v>296</v>
      </c>
      <c r="AH318" t="s">
        <v>379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1.8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185.4</v>
      </c>
      <c r="BE318">
        <v>0</v>
      </c>
      <c r="BF318">
        <v>480</v>
      </c>
      <c r="BG318">
        <v>0</v>
      </c>
      <c r="BH318">
        <v>0</v>
      </c>
      <c r="BI318">
        <v>96</v>
      </c>
      <c r="BJ318">
        <v>0</v>
      </c>
      <c r="BK318">
        <v>0</v>
      </c>
      <c r="BL318">
        <v>0</v>
      </c>
      <c r="BM318">
        <v>0</v>
      </c>
      <c r="BN318">
        <v>763.2</v>
      </c>
      <c r="BO318">
        <v>122.11</v>
      </c>
      <c r="BP318">
        <v>30.53</v>
      </c>
      <c r="BQ318">
        <f t="shared" si="4"/>
        <v>854.78000000000009</v>
      </c>
      <c r="BR318" t="s">
        <v>83</v>
      </c>
    </row>
    <row r="319" spans="1:70">
      <c r="A319" t="s">
        <v>1617</v>
      </c>
      <c r="B319" t="s">
        <v>1618</v>
      </c>
      <c r="C319" t="s">
        <v>71</v>
      </c>
      <c r="D319" t="s">
        <v>289</v>
      </c>
      <c r="E319" t="s">
        <v>73</v>
      </c>
      <c r="F319" t="s">
        <v>74</v>
      </c>
      <c r="G319">
        <v>241130</v>
      </c>
      <c r="H319" t="s">
        <v>74</v>
      </c>
      <c r="I319" t="s">
        <v>75</v>
      </c>
      <c r="J319" t="s">
        <v>74</v>
      </c>
      <c r="K319" t="s">
        <v>1619</v>
      </c>
      <c r="L319" t="s">
        <v>77</v>
      </c>
      <c r="M319" t="s">
        <v>78</v>
      </c>
      <c r="N319" t="s">
        <v>558</v>
      </c>
      <c r="O319" t="s">
        <v>1620</v>
      </c>
      <c r="P319" t="s">
        <v>152</v>
      </c>
      <c r="X319">
        <v>10</v>
      </c>
      <c r="AF319" t="s">
        <v>372</v>
      </c>
      <c r="AG319" t="s">
        <v>296</v>
      </c>
      <c r="AH319" t="s">
        <v>372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1.5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461.9</v>
      </c>
      <c r="BE319">
        <v>0</v>
      </c>
      <c r="BF319">
        <v>400</v>
      </c>
      <c r="BG319">
        <v>0</v>
      </c>
      <c r="BH319">
        <v>0</v>
      </c>
      <c r="BI319">
        <v>80</v>
      </c>
      <c r="BJ319">
        <v>0</v>
      </c>
      <c r="BK319">
        <v>0</v>
      </c>
      <c r="BL319">
        <v>0</v>
      </c>
      <c r="BM319">
        <v>0</v>
      </c>
      <c r="BN319">
        <v>943.4</v>
      </c>
      <c r="BO319">
        <v>150.94</v>
      </c>
      <c r="BP319">
        <v>37.74</v>
      </c>
      <c r="BQ319">
        <f t="shared" si="4"/>
        <v>1056.5999999999999</v>
      </c>
      <c r="BR319" t="s">
        <v>560</v>
      </c>
    </row>
    <row r="320" spans="1:70">
      <c r="A320" t="s">
        <v>1621</v>
      </c>
      <c r="B320" t="s">
        <v>1622</v>
      </c>
      <c r="C320" t="s">
        <v>71</v>
      </c>
      <c r="D320" t="s">
        <v>289</v>
      </c>
      <c r="E320" t="s">
        <v>73</v>
      </c>
      <c r="F320" t="s">
        <v>74</v>
      </c>
      <c r="G320">
        <v>241108</v>
      </c>
      <c r="H320" t="s">
        <v>74</v>
      </c>
      <c r="I320" t="s">
        <v>75</v>
      </c>
      <c r="J320" t="s">
        <v>74</v>
      </c>
      <c r="K320" t="s">
        <v>1623</v>
      </c>
      <c r="L320" t="s">
        <v>77</v>
      </c>
      <c r="M320" t="s">
        <v>78</v>
      </c>
      <c r="N320" t="s">
        <v>438</v>
      </c>
      <c r="O320" t="s">
        <v>1462</v>
      </c>
      <c r="P320" t="s">
        <v>152</v>
      </c>
      <c r="X320">
        <v>5</v>
      </c>
      <c r="AF320" t="s">
        <v>333</v>
      </c>
      <c r="AG320" t="s">
        <v>296</v>
      </c>
      <c r="AH320" t="s">
        <v>333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0.75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77.25</v>
      </c>
      <c r="BE320">
        <v>0</v>
      </c>
      <c r="BF320">
        <v>200</v>
      </c>
      <c r="BG320">
        <v>0</v>
      </c>
      <c r="BH320">
        <v>0</v>
      </c>
      <c r="BI320">
        <v>40</v>
      </c>
      <c r="BJ320">
        <v>0</v>
      </c>
      <c r="BK320">
        <v>0</v>
      </c>
      <c r="BL320">
        <v>0</v>
      </c>
      <c r="BM320">
        <v>0</v>
      </c>
      <c r="BN320">
        <v>318</v>
      </c>
      <c r="BO320">
        <v>50.88</v>
      </c>
      <c r="BP320">
        <v>12.72</v>
      </c>
      <c r="BQ320">
        <f t="shared" si="4"/>
        <v>356.15999999999997</v>
      </c>
      <c r="BR320" t="s">
        <v>440</v>
      </c>
    </row>
    <row r="321" spans="1:70">
      <c r="A321" t="s">
        <v>1624</v>
      </c>
      <c r="B321" t="s">
        <v>1625</v>
      </c>
      <c r="C321" t="s">
        <v>71</v>
      </c>
      <c r="D321" t="s">
        <v>289</v>
      </c>
      <c r="E321" t="s">
        <v>73</v>
      </c>
      <c r="F321" t="s">
        <v>74</v>
      </c>
      <c r="G321">
        <v>241105</v>
      </c>
      <c r="H321" t="s">
        <v>74</v>
      </c>
      <c r="I321" t="s">
        <v>75</v>
      </c>
      <c r="J321" t="s">
        <v>74</v>
      </c>
      <c r="K321" t="s">
        <v>1626</v>
      </c>
      <c r="L321" t="s">
        <v>77</v>
      </c>
      <c r="M321" t="s">
        <v>78</v>
      </c>
      <c r="N321" t="s">
        <v>343</v>
      </c>
      <c r="O321" t="s">
        <v>1433</v>
      </c>
      <c r="P321" t="s">
        <v>152</v>
      </c>
      <c r="AB321">
        <v>3</v>
      </c>
      <c r="AF321" t="s">
        <v>314</v>
      </c>
      <c r="AG321" t="s">
        <v>296</v>
      </c>
      <c r="AH321" t="s">
        <v>314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0.45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279.54000000000002</v>
      </c>
      <c r="BE321">
        <v>0</v>
      </c>
      <c r="BF321">
        <v>120</v>
      </c>
      <c r="BG321">
        <v>0</v>
      </c>
      <c r="BH321">
        <v>0</v>
      </c>
      <c r="BI321">
        <v>24</v>
      </c>
      <c r="BJ321">
        <v>0</v>
      </c>
      <c r="BK321">
        <v>0</v>
      </c>
      <c r="BL321">
        <v>0</v>
      </c>
      <c r="BM321">
        <v>0</v>
      </c>
      <c r="BN321">
        <v>423.99</v>
      </c>
      <c r="BO321">
        <v>67.84</v>
      </c>
      <c r="BP321">
        <v>16.96</v>
      </c>
      <c r="BQ321">
        <f t="shared" si="4"/>
        <v>474.87000000000006</v>
      </c>
      <c r="BR321" t="s">
        <v>343</v>
      </c>
    </row>
    <row r="322" spans="1:70">
      <c r="A322" t="s">
        <v>1627</v>
      </c>
      <c r="B322" t="s">
        <v>1628</v>
      </c>
      <c r="C322" t="s">
        <v>71</v>
      </c>
      <c r="D322" t="s">
        <v>289</v>
      </c>
      <c r="E322" t="s">
        <v>73</v>
      </c>
      <c r="F322" t="s">
        <v>74</v>
      </c>
      <c r="G322">
        <v>241110</v>
      </c>
      <c r="H322" t="s">
        <v>74</v>
      </c>
      <c r="I322" t="s">
        <v>75</v>
      </c>
      <c r="J322" t="s">
        <v>74</v>
      </c>
      <c r="K322" t="s">
        <v>1629</v>
      </c>
      <c r="L322" t="s">
        <v>77</v>
      </c>
      <c r="M322" t="s">
        <v>78</v>
      </c>
      <c r="N322" t="s">
        <v>432</v>
      </c>
      <c r="O322" t="s">
        <v>1630</v>
      </c>
      <c r="P322" t="s">
        <v>152</v>
      </c>
      <c r="X322">
        <v>22</v>
      </c>
      <c r="AF322" t="s">
        <v>445</v>
      </c>
      <c r="AG322" t="s">
        <v>296</v>
      </c>
      <c r="AH322" t="s">
        <v>445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3.3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1016.18</v>
      </c>
      <c r="BE322">
        <v>0</v>
      </c>
      <c r="BF322">
        <v>880</v>
      </c>
      <c r="BG322">
        <v>0</v>
      </c>
      <c r="BH322">
        <v>0</v>
      </c>
      <c r="BI322">
        <v>176</v>
      </c>
      <c r="BJ322">
        <v>0</v>
      </c>
      <c r="BK322">
        <v>0</v>
      </c>
      <c r="BL322">
        <v>0</v>
      </c>
      <c r="BM322">
        <v>0</v>
      </c>
      <c r="BN322">
        <v>2075.48</v>
      </c>
      <c r="BO322">
        <v>332.08</v>
      </c>
      <c r="BP322">
        <v>83.02</v>
      </c>
      <c r="BQ322">
        <f t="shared" ref="BQ322:BQ385" si="5">(BN322+BO322-BP322)</f>
        <v>2324.54</v>
      </c>
      <c r="BR322" t="s">
        <v>432</v>
      </c>
    </row>
    <row r="323" spans="1:70">
      <c r="A323" t="s">
        <v>1631</v>
      </c>
      <c r="B323" t="s">
        <v>1632</v>
      </c>
      <c r="C323" t="s">
        <v>71</v>
      </c>
      <c r="D323" t="s">
        <v>289</v>
      </c>
      <c r="E323" t="s">
        <v>73</v>
      </c>
      <c r="F323" t="s">
        <v>74</v>
      </c>
      <c r="G323">
        <v>241124</v>
      </c>
      <c r="H323" t="s">
        <v>74</v>
      </c>
      <c r="I323" t="s">
        <v>75</v>
      </c>
      <c r="J323" t="s">
        <v>74</v>
      </c>
      <c r="K323" t="s">
        <v>1633</v>
      </c>
      <c r="L323" t="s">
        <v>77</v>
      </c>
      <c r="M323" t="s">
        <v>78</v>
      </c>
      <c r="N323" t="s">
        <v>137</v>
      </c>
      <c r="O323" t="s">
        <v>511</v>
      </c>
      <c r="P323" t="s">
        <v>152</v>
      </c>
      <c r="T323">
        <v>1</v>
      </c>
      <c r="AF323" t="s">
        <v>823</v>
      </c>
      <c r="AG323" t="s">
        <v>296</v>
      </c>
      <c r="AH323" t="s">
        <v>823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36.46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3209.98</v>
      </c>
      <c r="BE323">
        <v>0</v>
      </c>
      <c r="BF323">
        <v>458.08</v>
      </c>
      <c r="BG323">
        <v>0</v>
      </c>
      <c r="BH323">
        <v>0</v>
      </c>
      <c r="BI323">
        <v>421.62</v>
      </c>
      <c r="BJ323">
        <v>0</v>
      </c>
      <c r="BK323">
        <v>0</v>
      </c>
      <c r="BL323">
        <v>0</v>
      </c>
      <c r="BM323">
        <v>0</v>
      </c>
      <c r="BN323">
        <v>4126.1400000000003</v>
      </c>
      <c r="BO323">
        <v>660.18</v>
      </c>
      <c r="BP323">
        <v>165.04</v>
      </c>
      <c r="BQ323">
        <f t="shared" si="5"/>
        <v>4621.2800000000007</v>
      </c>
      <c r="BR323" t="s">
        <v>141</v>
      </c>
    </row>
    <row r="324" spans="1:70">
      <c r="A324" t="s">
        <v>1634</v>
      </c>
      <c r="B324" t="s">
        <v>1635</v>
      </c>
      <c r="C324" t="s">
        <v>71</v>
      </c>
      <c r="D324" t="s">
        <v>289</v>
      </c>
      <c r="E324" t="s">
        <v>73</v>
      </c>
      <c r="F324" t="s">
        <v>74</v>
      </c>
      <c r="G324">
        <v>241154</v>
      </c>
      <c r="H324" t="s">
        <v>1636</v>
      </c>
      <c r="I324" t="s">
        <v>75</v>
      </c>
      <c r="J324" t="s">
        <v>74</v>
      </c>
      <c r="K324" t="s">
        <v>1637</v>
      </c>
      <c r="L324" t="s">
        <v>77</v>
      </c>
      <c r="M324" t="s">
        <v>78</v>
      </c>
      <c r="N324" t="s">
        <v>318</v>
      </c>
      <c r="O324" t="s">
        <v>978</v>
      </c>
      <c r="P324" t="s">
        <v>163</v>
      </c>
      <c r="U324">
        <v>1</v>
      </c>
      <c r="AF324" t="s">
        <v>823</v>
      </c>
      <c r="AG324" t="s">
        <v>296</v>
      </c>
      <c r="AH324" t="s">
        <v>823</v>
      </c>
      <c r="AJ324">
        <v>0</v>
      </c>
      <c r="AK324">
        <v>0</v>
      </c>
      <c r="AL324">
        <v>0</v>
      </c>
      <c r="AM324">
        <v>0</v>
      </c>
      <c r="AN324">
        <v>458.08</v>
      </c>
      <c r="AO324">
        <v>0</v>
      </c>
      <c r="AP324">
        <v>0</v>
      </c>
      <c r="AQ324">
        <v>0</v>
      </c>
      <c r="AR324">
        <v>0</v>
      </c>
      <c r="AS324">
        <v>36.46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3209.98</v>
      </c>
      <c r="BE324">
        <v>0</v>
      </c>
      <c r="BF324">
        <v>0</v>
      </c>
      <c r="BG324">
        <v>0</v>
      </c>
      <c r="BH324">
        <v>0</v>
      </c>
      <c r="BI324">
        <v>421.62</v>
      </c>
      <c r="BJ324">
        <v>0</v>
      </c>
      <c r="BK324">
        <v>0</v>
      </c>
      <c r="BL324">
        <v>0</v>
      </c>
      <c r="BM324">
        <v>0</v>
      </c>
      <c r="BN324">
        <v>4126.1400000000003</v>
      </c>
      <c r="BO324">
        <v>660.18</v>
      </c>
      <c r="BP324">
        <v>146.72</v>
      </c>
      <c r="BQ324">
        <f t="shared" si="5"/>
        <v>4639.6000000000004</v>
      </c>
      <c r="BR324" t="s">
        <v>320</v>
      </c>
    </row>
    <row r="325" spans="1:70">
      <c r="A325" t="s">
        <v>1638</v>
      </c>
      <c r="B325" t="s">
        <v>1639</v>
      </c>
      <c r="C325" t="s">
        <v>71</v>
      </c>
      <c r="D325" t="s">
        <v>289</v>
      </c>
      <c r="E325" t="s">
        <v>73</v>
      </c>
      <c r="F325" t="s">
        <v>74</v>
      </c>
      <c r="G325">
        <v>241178</v>
      </c>
      <c r="H325" t="s">
        <v>74</v>
      </c>
      <c r="I325" t="s">
        <v>75</v>
      </c>
      <c r="J325" t="s">
        <v>74</v>
      </c>
      <c r="K325" t="s">
        <v>1640</v>
      </c>
      <c r="L325" t="s">
        <v>77</v>
      </c>
      <c r="M325" t="s">
        <v>78</v>
      </c>
      <c r="N325" t="s">
        <v>175</v>
      </c>
      <c r="O325" t="s">
        <v>1641</v>
      </c>
      <c r="P325" t="s">
        <v>163</v>
      </c>
      <c r="X325">
        <v>10</v>
      </c>
      <c r="AF325" t="s">
        <v>372</v>
      </c>
      <c r="AG325" t="s">
        <v>296</v>
      </c>
      <c r="AH325" t="s">
        <v>372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1.5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461.9</v>
      </c>
      <c r="BE325">
        <v>0</v>
      </c>
      <c r="BF325">
        <v>400</v>
      </c>
      <c r="BG325">
        <v>0</v>
      </c>
      <c r="BH325">
        <v>0</v>
      </c>
      <c r="BI325">
        <v>80</v>
      </c>
      <c r="BJ325">
        <v>0</v>
      </c>
      <c r="BK325">
        <v>0</v>
      </c>
      <c r="BL325">
        <v>0</v>
      </c>
      <c r="BM325">
        <v>0</v>
      </c>
      <c r="BN325">
        <v>943.4</v>
      </c>
      <c r="BO325">
        <v>150.94</v>
      </c>
      <c r="BP325">
        <v>37.74</v>
      </c>
      <c r="BQ325">
        <f t="shared" si="5"/>
        <v>1056.5999999999999</v>
      </c>
      <c r="BR325" t="s">
        <v>175</v>
      </c>
    </row>
    <row r="326" spans="1:70">
      <c r="A326" t="s">
        <v>1642</v>
      </c>
      <c r="B326" t="s">
        <v>1643</v>
      </c>
      <c r="C326" t="s">
        <v>71</v>
      </c>
      <c r="D326" t="s">
        <v>289</v>
      </c>
      <c r="E326" t="s">
        <v>73</v>
      </c>
      <c r="F326" t="s">
        <v>74</v>
      </c>
      <c r="G326">
        <v>241182</v>
      </c>
      <c r="H326" t="s">
        <v>74</v>
      </c>
      <c r="I326" t="s">
        <v>75</v>
      </c>
      <c r="J326" t="s">
        <v>74</v>
      </c>
      <c r="K326" t="s">
        <v>1644</v>
      </c>
      <c r="L326" t="s">
        <v>77</v>
      </c>
      <c r="M326" t="s">
        <v>78</v>
      </c>
      <c r="N326" t="s">
        <v>250</v>
      </c>
      <c r="O326" t="s">
        <v>1645</v>
      </c>
      <c r="P326" t="s">
        <v>163</v>
      </c>
      <c r="X326">
        <v>14</v>
      </c>
      <c r="AF326" t="s">
        <v>413</v>
      </c>
      <c r="AG326" t="s">
        <v>296</v>
      </c>
      <c r="AH326" t="s">
        <v>413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2.1</v>
      </c>
      <c r="AT326">
        <v>0</v>
      </c>
      <c r="AU326">
        <v>0</v>
      </c>
      <c r="AV326">
        <v>368.06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646.66</v>
      </c>
      <c r="BE326">
        <v>0</v>
      </c>
      <c r="BF326">
        <v>560</v>
      </c>
      <c r="BG326">
        <v>0</v>
      </c>
      <c r="BH326">
        <v>0</v>
      </c>
      <c r="BI326">
        <v>112</v>
      </c>
      <c r="BJ326">
        <v>0</v>
      </c>
      <c r="BK326">
        <v>0</v>
      </c>
      <c r="BL326">
        <v>0</v>
      </c>
      <c r="BM326">
        <v>0</v>
      </c>
      <c r="BN326">
        <v>1688.82</v>
      </c>
      <c r="BO326">
        <v>270.22000000000003</v>
      </c>
      <c r="BP326">
        <v>52.83</v>
      </c>
      <c r="BQ326">
        <f t="shared" si="5"/>
        <v>1906.21</v>
      </c>
      <c r="BR326" t="s">
        <v>253</v>
      </c>
    </row>
    <row r="327" spans="1:70">
      <c r="A327" t="s">
        <v>1646</v>
      </c>
      <c r="B327" t="s">
        <v>1647</v>
      </c>
      <c r="C327" t="s">
        <v>71</v>
      </c>
      <c r="D327" t="s">
        <v>289</v>
      </c>
      <c r="E327" t="s">
        <v>73</v>
      </c>
      <c r="F327" t="s">
        <v>74</v>
      </c>
      <c r="G327">
        <v>241186</v>
      </c>
      <c r="H327" t="s">
        <v>74</v>
      </c>
      <c r="I327" t="s">
        <v>75</v>
      </c>
      <c r="K327" t="s">
        <v>1648</v>
      </c>
      <c r="L327" t="s">
        <v>77</v>
      </c>
      <c r="M327" t="s">
        <v>78</v>
      </c>
      <c r="N327" t="s">
        <v>438</v>
      </c>
      <c r="O327" t="s">
        <v>753</v>
      </c>
      <c r="P327" t="s">
        <v>163</v>
      </c>
      <c r="AD327">
        <v>4</v>
      </c>
      <c r="AF327" t="s">
        <v>326</v>
      </c>
      <c r="AG327" t="s">
        <v>296</v>
      </c>
      <c r="AH327" t="s">
        <v>326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0.6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231.4</v>
      </c>
      <c r="BE327">
        <v>0</v>
      </c>
      <c r="BF327">
        <v>160</v>
      </c>
      <c r="BG327">
        <v>0</v>
      </c>
      <c r="BH327">
        <v>0</v>
      </c>
      <c r="BI327">
        <v>32</v>
      </c>
      <c r="BJ327">
        <v>0</v>
      </c>
      <c r="BK327">
        <v>0</v>
      </c>
      <c r="BL327">
        <v>0</v>
      </c>
      <c r="BM327">
        <v>0</v>
      </c>
      <c r="BN327">
        <v>424</v>
      </c>
      <c r="BO327">
        <v>67.84</v>
      </c>
      <c r="BP327">
        <v>16.96</v>
      </c>
      <c r="BQ327">
        <f t="shared" si="5"/>
        <v>474.88000000000005</v>
      </c>
      <c r="BR327" t="s">
        <v>440</v>
      </c>
    </row>
    <row r="328" spans="1:70">
      <c r="A328" t="s">
        <v>1649</v>
      </c>
      <c r="B328" t="s">
        <v>1650</v>
      </c>
      <c r="C328" t="s">
        <v>71</v>
      </c>
      <c r="D328" t="s">
        <v>289</v>
      </c>
      <c r="E328" t="s">
        <v>73</v>
      </c>
      <c r="F328" t="s">
        <v>74</v>
      </c>
      <c r="G328">
        <v>241188</v>
      </c>
      <c r="H328" t="s">
        <v>74</v>
      </c>
      <c r="I328" t="s">
        <v>75</v>
      </c>
      <c r="J328" t="s">
        <v>74</v>
      </c>
      <c r="K328" t="s">
        <v>1651</v>
      </c>
      <c r="L328" t="s">
        <v>77</v>
      </c>
      <c r="M328" t="s">
        <v>78</v>
      </c>
      <c r="N328" t="s">
        <v>959</v>
      </c>
      <c r="O328" t="s">
        <v>1652</v>
      </c>
      <c r="P328" t="s">
        <v>163</v>
      </c>
      <c r="X328">
        <v>5</v>
      </c>
      <c r="AF328" t="s">
        <v>333</v>
      </c>
      <c r="AG328" t="s">
        <v>296</v>
      </c>
      <c r="AH328" t="s">
        <v>333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0.75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77.25</v>
      </c>
      <c r="BE328">
        <v>0</v>
      </c>
      <c r="BF328">
        <v>200</v>
      </c>
      <c r="BG328">
        <v>0</v>
      </c>
      <c r="BH328">
        <v>0</v>
      </c>
      <c r="BI328">
        <v>40</v>
      </c>
      <c r="BJ328">
        <v>0</v>
      </c>
      <c r="BK328">
        <v>0</v>
      </c>
      <c r="BL328">
        <v>0</v>
      </c>
      <c r="BM328">
        <v>0</v>
      </c>
      <c r="BN328">
        <v>318</v>
      </c>
      <c r="BO328">
        <v>50.88</v>
      </c>
      <c r="BP328">
        <v>12.72</v>
      </c>
      <c r="BQ328">
        <f t="shared" si="5"/>
        <v>356.15999999999997</v>
      </c>
      <c r="BR328" t="s">
        <v>959</v>
      </c>
    </row>
    <row r="329" spans="1:70">
      <c r="A329" t="s">
        <v>1653</v>
      </c>
      <c r="B329" t="s">
        <v>1654</v>
      </c>
      <c r="C329" t="s">
        <v>71</v>
      </c>
      <c r="D329" t="s">
        <v>289</v>
      </c>
      <c r="E329" t="s">
        <v>73</v>
      </c>
      <c r="F329" t="s">
        <v>74</v>
      </c>
      <c r="G329">
        <v>241189</v>
      </c>
      <c r="H329" t="s">
        <v>74</v>
      </c>
      <c r="I329" t="s">
        <v>75</v>
      </c>
      <c r="J329" t="s">
        <v>74</v>
      </c>
      <c r="K329" t="s">
        <v>1655</v>
      </c>
      <c r="L329" t="s">
        <v>77</v>
      </c>
      <c r="M329" t="s">
        <v>78</v>
      </c>
      <c r="N329" t="s">
        <v>866</v>
      </c>
      <c r="O329" t="s">
        <v>1656</v>
      </c>
      <c r="P329" t="s">
        <v>163</v>
      </c>
      <c r="X329">
        <v>6</v>
      </c>
      <c r="AF329" t="s">
        <v>400</v>
      </c>
      <c r="AG329" t="s">
        <v>296</v>
      </c>
      <c r="AH329" t="s">
        <v>400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0.9</v>
      </c>
      <c r="AT329">
        <v>0</v>
      </c>
      <c r="AU329">
        <v>0</v>
      </c>
      <c r="AV329">
        <v>157.74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277.14</v>
      </c>
      <c r="BE329">
        <v>0</v>
      </c>
      <c r="BF329">
        <v>240</v>
      </c>
      <c r="BG329">
        <v>0</v>
      </c>
      <c r="BH329">
        <v>0</v>
      </c>
      <c r="BI329">
        <v>48</v>
      </c>
      <c r="BJ329">
        <v>0</v>
      </c>
      <c r="BK329">
        <v>0</v>
      </c>
      <c r="BL329">
        <v>0</v>
      </c>
      <c r="BM329">
        <v>0</v>
      </c>
      <c r="BN329">
        <v>723.78</v>
      </c>
      <c r="BO329">
        <v>115.8</v>
      </c>
      <c r="BP329">
        <v>22.65</v>
      </c>
      <c r="BQ329">
        <f t="shared" si="5"/>
        <v>816.93</v>
      </c>
      <c r="BR329" t="s">
        <v>866</v>
      </c>
    </row>
    <row r="330" spans="1:70">
      <c r="A330" t="s">
        <v>1657</v>
      </c>
      <c r="B330" t="s">
        <v>1658</v>
      </c>
      <c r="C330" t="s">
        <v>71</v>
      </c>
      <c r="D330" t="s">
        <v>289</v>
      </c>
      <c r="E330" t="s">
        <v>73</v>
      </c>
      <c r="F330" t="s">
        <v>74</v>
      </c>
      <c r="G330">
        <v>241151</v>
      </c>
      <c r="H330" t="s">
        <v>74</v>
      </c>
      <c r="I330" t="s">
        <v>75</v>
      </c>
      <c r="J330" t="s">
        <v>74</v>
      </c>
      <c r="K330" t="s">
        <v>1659</v>
      </c>
      <c r="L330" t="s">
        <v>77</v>
      </c>
      <c r="M330" t="s">
        <v>78</v>
      </c>
      <c r="N330" t="s">
        <v>250</v>
      </c>
      <c r="O330" t="s">
        <v>1387</v>
      </c>
      <c r="P330" t="s">
        <v>163</v>
      </c>
      <c r="X330">
        <v>9</v>
      </c>
      <c r="AF330" t="s">
        <v>407</v>
      </c>
      <c r="AG330" t="s">
        <v>296</v>
      </c>
      <c r="AH330" t="s">
        <v>407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1.35</v>
      </c>
      <c r="AT330">
        <v>0</v>
      </c>
      <c r="AU330">
        <v>0</v>
      </c>
      <c r="AV330">
        <v>236.61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415.71</v>
      </c>
      <c r="BE330">
        <v>0</v>
      </c>
      <c r="BF330">
        <v>360</v>
      </c>
      <c r="BG330">
        <v>0</v>
      </c>
      <c r="BH330">
        <v>0</v>
      </c>
      <c r="BI330">
        <v>72</v>
      </c>
      <c r="BJ330">
        <v>0</v>
      </c>
      <c r="BK330">
        <v>0</v>
      </c>
      <c r="BL330">
        <v>0</v>
      </c>
      <c r="BM330">
        <v>0</v>
      </c>
      <c r="BN330">
        <v>1085.67</v>
      </c>
      <c r="BO330">
        <v>173.71</v>
      </c>
      <c r="BP330">
        <v>33.96</v>
      </c>
      <c r="BQ330">
        <f t="shared" si="5"/>
        <v>1225.42</v>
      </c>
      <c r="BR330" t="s">
        <v>253</v>
      </c>
    </row>
    <row r="331" spans="1:70">
      <c r="A331" t="s">
        <v>1660</v>
      </c>
      <c r="B331" t="s">
        <v>1661</v>
      </c>
      <c r="C331" t="s">
        <v>71</v>
      </c>
      <c r="D331" t="s">
        <v>289</v>
      </c>
      <c r="E331" t="s">
        <v>73</v>
      </c>
      <c r="F331" t="s">
        <v>74</v>
      </c>
      <c r="G331">
        <v>241084</v>
      </c>
      <c r="H331" t="s">
        <v>74</v>
      </c>
      <c r="I331" t="s">
        <v>75</v>
      </c>
      <c r="J331" t="s">
        <v>74</v>
      </c>
      <c r="K331" t="s">
        <v>1662</v>
      </c>
      <c r="L331" t="s">
        <v>77</v>
      </c>
      <c r="M331" t="s">
        <v>78</v>
      </c>
      <c r="N331" t="s">
        <v>330</v>
      </c>
      <c r="O331" t="s">
        <v>568</v>
      </c>
      <c r="P331" t="s">
        <v>163</v>
      </c>
      <c r="X331">
        <v>10</v>
      </c>
      <c r="AF331" t="s">
        <v>372</v>
      </c>
      <c r="AG331" t="s">
        <v>296</v>
      </c>
      <c r="AH331" t="s">
        <v>372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1.5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461.9</v>
      </c>
      <c r="BE331">
        <v>0</v>
      </c>
      <c r="BF331">
        <v>400</v>
      </c>
      <c r="BG331">
        <v>0</v>
      </c>
      <c r="BH331">
        <v>0</v>
      </c>
      <c r="BI331">
        <v>80</v>
      </c>
      <c r="BJ331">
        <v>0</v>
      </c>
      <c r="BK331">
        <v>0</v>
      </c>
      <c r="BL331">
        <v>0</v>
      </c>
      <c r="BM331">
        <v>0</v>
      </c>
      <c r="BN331">
        <v>943.4</v>
      </c>
      <c r="BO331">
        <v>150.94</v>
      </c>
      <c r="BP331">
        <v>37.74</v>
      </c>
      <c r="BQ331">
        <f t="shared" si="5"/>
        <v>1056.5999999999999</v>
      </c>
      <c r="BR331" t="s">
        <v>332</v>
      </c>
    </row>
    <row r="332" spans="1:70">
      <c r="A332" t="s">
        <v>1663</v>
      </c>
      <c r="B332" t="s">
        <v>1664</v>
      </c>
      <c r="C332" t="s">
        <v>71</v>
      </c>
      <c r="D332" t="s">
        <v>289</v>
      </c>
      <c r="E332" t="s">
        <v>73</v>
      </c>
      <c r="F332" t="s">
        <v>74</v>
      </c>
      <c r="G332">
        <v>241085</v>
      </c>
      <c r="H332" t="s">
        <v>74</v>
      </c>
      <c r="I332" t="s">
        <v>75</v>
      </c>
      <c r="J332" t="s">
        <v>74</v>
      </c>
      <c r="K332" t="s">
        <v>1665</v>
      </c>
      <c r="L332" t="s">
        <v>77</v>
      </c>
      <c r="M332" t="s">
        <v>78</v>
      </c>
      <c r="N332" t="s">
        <v>653</v>
      </c>
      <c r="O332" t="s">
        <v>654</v>
      </c>
      <c r="P332" t="s">
        <v>163</v>
      </c>
      <c r="X332">
        <v>6</v>
      </c>
      <c r="AF332" t="s">
        <v>400</v>
      </c>
      <c r="AG332" t="s">
        <v>296</v>
      </c>
      <c r="AH332" t="s">
        <v>400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0.9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92.7</v>
      </c>
      <c r="BE332">
        <v>0</v>
      </c>
      <c r="BF332">
        <v>240</v>
      </c>
      <c r="BG332">
        <v>0</v>
      </c>
      <c r="BH332">
        <v>0</v>
      </c>
      <c r="BI332">
        <v>48</v>
      </c>
      <c r="BJ332">
        <v>0</v>
      </c>
      <c r="BK332">
        <v>0</v>
      </c>
      <c r="BL332">
        <v>0</v>
      </c>
      <c r="BM332">
        <v>0</v>
      </c>
      <c r="BN332">
        <v>381.6</v>
      </c>
      <c r="BO332">
        <v>61.05</v>
      </c>
      <c r="BP332">
        <v>15.27</v>
      </c>
      <c r="BQ332">
        <f t="shared" si="5"/>
        <v>427.38000000000005</v>
      </c>
      <c r="BR332" t="s">
        <v>119</v>
      </c>
    </row>
    <row r="333" spans="1:70">
      <c r="A333" t="s">
        <v>1666</v>
      </c>
      <c r="B333" t="s">
        <v>1667</v>
      </c>
      <c r="C333" t="s">
        <v>71</v>
      </c>
      <c r="D333" t="s">
        <v>289</v>
      </c>
      <c r="E333" t="s">
        <v>73</v>
      </c>
      <c r="F333" t="s">
        <v>74</v>
      </c>
      <c r="G333">
        <v>241087</v>
      </c>
      <c r="H333" t="s">
        <v>74</v>
      </c>
      <c r="I333" t="s">
        <v>75</v>
      </c>
      <c r="K333" t="s">
        <v>1668</v>
      </c>
      <c r="L333" t="s">
        <v>77</v>
      </c>
      <c r="M333" t="s">
        <v>78</v>
      </c>
      <c r="N333" t="s">
        <v>79</v>
      </c>
      <c r="O333" t="s">
        <v>80</v>
      </c>
      <c r="P333" t="s">
        <v>163</v>
      </c>
      <c r="Z333">
        <v>2</v>
      </c>
      <c r="AF333" t="s">
        <v>339</v>
      </c>
      <c r="AG333" t="s">
        <v>296</v>
      </c>
      <c r="AH333" t="s">
        <v>339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0.3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327.7</v>
      </c>
      <c r="BE333">
        <v>0</v>
      </c>
      <c r="BF333">
        <v>80</v>
      </c>
      <c r="BG333">
        <v>0</v>
      </c>
      <c r="BH333">
        <v>0</v>
      </c>
      <c r="BI333">
        <v>16</v>
      </c>
      <c r="BJ333">
        <v>0</v>
      </c>
      <c r="BK333">
        <v>0</v>
      </c>
      <c r="BL333">
        <v>0</v>
      </c>
      <c r="BM333">
        <v>0</v>
      </c>
      <c r="BN333">
        <v>424</v>
      </c>
      <c r="BO333">
        <v>67.84</v>
      </c>
      <c r="BP333">
        <v>16.96</v>
      </c>
      <c r="BQ333">
        <f t="shared" si="5"/>
        <v>474.88000000000005</v>
      </c>
      <c r="BR333" t="s">
        <v>83</v>
      </c>
    </row>
    <row r="334" spans="1:70">
      <c r="A334" t="s">
        <v>1669</v>
      </c>
      <c r="B334" t="s">
        <v>1670</v>
      </c>
      <c r="C334" t="s">
        <v>71</v>
      </c>
      <c r="D334" t="s">
        <v>289</v>
      </c>
      <c r="E334" t="s">
        <v>73</v>
      </c>
      <c r="F334" t="s">
        <v>74</v>
      </c>
      <c r="G334">
        <v>241099</v>
      </c>
      <c r="H334" t="s">
        <v>74</v>
      </c>
      <c r="I334" t="s">
        <v>75</v>
      </c>
      <c r="K334" t="s">
        <v>1671</v>
      </c>
      <c r="L334" t="s">
        <v>77</v>
      </c>
      <c r="M334" t="s">
        <v>78</v>
      </c>
      <c r="N334" t="s">
        <v>432</v>
      </c>
      <c r="O334" t="s">
        <v>433</v>
      </c>
      <c r="P334" t="s">
        <v>163</v>
      </c>
      <c r="X334">
        <v>11</v>
      </c>
      <c r="AF334" t="s">
        <v>470</v>
      </c>
      <c r="AG334" t="s">
        <v>296</v>
      </c>
      <c r="AH334" t="s">
        <v>470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1.65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508.09</v>
      </c>
      <c r="BE334">
        <v>0</v>
      </c>
      <c r="BF334">
        <v>440</v>
      </c>
      <c r="BG334">
        <v>0</v>
      </c>
      <c r="BH334">
        <v>0</v>
      </c>
      <c r="BI334">
        <v>88</v>
      </c>
      <c r="BJ334">
        <v>0</v>
      </c>
      <c r="BK334">
        <v>0</v>
      </c>
      <c r="BL334">
        <v>0</v>
      </c>
      <c r="BM334">
        <v>0</v>
      </c>
      <c r="BN334">
        <v>1037.74</v>
      </c>
      <c r="BO334">
        <v>166.03</v>
      </c>
      <c r="BP334">
        <v>41.51</v>
      </c>
      <c r="BQ334">
        <f t="shared" si="5"/>
        <v>1162.26</v>
      </c>
      <c r="BR334" t="s">
        <v>432</v>
      </c>
    </row>
    <row r="335" spans="1:70">
      <c r="A335" t="s">
        <v>1672</v>
      </c>
      <c r="B335" t="s">
        <v>1673</v>
      </c>
      <c r="C335" t="s">
        <v>71</v>
      </c>
      <c r="D335" t="s">
        <v>289</v>
      </c>
      <c r="E335" t="s">
        <v>73</v>
      </c>
      <c r="F335" t="s">
        <v>74</v>
      </c>
      <c r="G335">
        <v>241101</v>
      </c>
      <c r="H335" t="s">
        <v>74</v>
      </c>
      <c r="I335" t="s">
        <v>75</v>
      </c>
      <c r="J335" t="s">
        <v>74</v>
      </c>
      <c r="K335" t="s">
        <v>1674</v>
      </c>
      <c r="L335" t="s">
        <v>77</v>
      </c>
      <c r="M335" t="s">
        <v>78</v>
      </c>
      <c r="N335" t="s">
        <v>653</v>
      </c>
      <c r="O335" t="s">
        <v>1675</v>
      </c>
      <c r="P335" t="s">
        <v>163</v>
      </c>
      <c r="X335">
        <v>7</v>
      </c>
      <c r="AF335" t="s">
        <v>345</v>
      </c>
      <c r="AG335" t="s">
        <v>296</v>
      </c>
      <c r="AH335" t="s">
        <v>345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1.05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108.15</v>
      </c>
      <c r="BE335">
        <v>0</v>
      </c>
      <c r="BF335">
        <v>280</v>
      </c>
      <c r="BG335">
        <v>0</v>
      </c>
      <c r="BH335">
        <v>0</v>
      </c>
      <c r="BI335">
        <v>56</v>
      </c>
      <c r="BJ335">
        <v>0</v>
      </c>
      <c r="BK335">
        <v>0</v>
      </c>
      <c r="BL335">
        <v>0</v>
      </c>
      <c r="BM335">
        <v>0</v>
      </c>
      <c r="BN335">
        <v>445.2</v>
      </c>
      <c r="BO335">
        <v>71.23</v>
      </c>
      <c r="BP335">
        <v>17.809999999999999</v>
      </c>
      <c r="BQ335">
        <f t="shared" si="5"/>
        <v>498.61999999999995</v>
      </c>
      <c r="BR335" t="s">
        <v>119</v>
      </c>
    </row>
    <row r="336" spans="1:70">
      <c r="A336" t="s">
        <v>1676</v>
      </c>
      <c r="B336" t="s">
        <v>1677</v>
      </c>
      <c r="C336" t="s">
        <v>71</v>
      </c>
      <c r="D336" t="s">
        <v>289</v>
      </c>
      <c r="E336" t="s">
        <v>73</v>
      </c>
      <c r="F336" t="s">
        <v>74</v>
      </c>
      <c r="G336">
        <v>241107</v>
      </c>
      <c r="H336" t="s">
        <v>74</v>
      </c>
      <c r="I336" t="s">
        <v>75</v>
      </c>
      <c r="J336" t="s">
        <v>74</v>
      </c>
      <c r="K336" t="s">
        <v>1678</v>
      </c>
      <c r="L336" t="s">
        <v>77</v>
      </c>
      <c r="M336" t="s">
        <v>78</v>
      </c>
      <c r="N336" t="s">
        <v>832</v>
      </c>
      <c r="O336" t="s">
        <v>1679</v>
      </c>
      <c r="P336" t="s">
        <v>163</v>
      </c>
      <c r="X336">
        <v>23</v>
      </c>
      <c r="AF336" t="s">
        <v>428</v>
      </c>
      <c r="AG336" t="s">
        <v>296</v>
      </c>
      <c r="AH336" t="s">
        <v>428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3.45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355.35</v>
      </c>
      <c r="BE336">
        <v>0</v>
      </c>
      <c r="BF336">
        <v>920</v>
      </c>
      <c r="BG336">
        <v>0</v>
      </c>
      <c r="BH336">
        <v>0</v>
      </c>
      <c r="BI336">
        <v>184</v>
      </c>
      <c r="BJ336">
        <v>0</v>
      </c>
      <c r="BK336">
        <v>0</v>
      </c>
      <c r="BL336">
        <v>0</v>
      </c>
      <c r="BM336">
        <v>0</v>
      </c>
      <c r="BN336">
        <v>1462.8</v>
      </c>
      <c r="BO336">
        <v>234.05</v>
      </c>
      <c r="BP336">
        <v>58.51</v>
      </c>
      <c r="BQ336">
        <f t="shared" si="5"/>
        <v>1638.34</v>
      </c>
      <c r="BR336" t="s">
        <v>832</v>
      </c>
    </row>
    <row r="337" spans="1:70">
      <c r="A337" t="s">
        <v>1680</v>
      </c>
      <c r="B337" t="s">
        <v>1681</v>
      </c>
      <c r="C337" t="s">
        <v>71</v>
      </c>
      <c r="D337" t="s">
        <v>289</v>
      </c>
      <c r="E337" t="s">
        <v>73</v>
      </c>
      <c r="F337" t="s">
        <v>74</v>
      </c>
      <c r="G337" t="s">
        <v>1682</v>
      </c>
      <c r="H337" t="s">
        <v>74</v>
      </c>
      <c r="I337" t="s">
        <v>75</v>
      </c>
      <c r="J337" t="s">
        <v>74</v>
      </c>
      <c r="K337" t="s">
        <v>1683</v>
      </c>
      <c r="L337" t="s">
        <v>77</v>
      </c>
      <c r="M337" t="s">
        <v>78</v>
      </c>
      <c r="N337" t="s">
        <v>161</v>
      </c>
      <c r="O337" t="s">
        <v>1684</v>
      </c>
      <c r="P337" t="s">
        <v>163</v>
      </c>
      <c r="X337">
        <v>28</v>
      </c>
      <c r="AF337" t="s">
        <v>1238</v>
      </c>
      <c r="AG337" t="s">
        <v>296</v>
      </c>
      <c r="AH337" t="s">
        <v>1238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4.2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432.6</v>
      </c>
      <c r="BE337">
        <v>0</v>
      </c>
      <c r="BF337">
        <v>1120</v>
      </c>
      <c r="BG337">
        <v>0</v>
      </c>
      <c r="BH337">
        <v>0</v>
      </c>
      <c r="BI337">
        <v>224</v>
      </c>
      <c r="BJ337">
        <v>0</v>
      </c>
      <c r="BK337">
        <v>0</v>
      </c>
      <c r="BL337">
        <v>0</v>
      </c>
      <c r="BM337">
        <v>0</v>
      </c>
      <c r="BN337">
        <v>1780.8</v>
      </c>
      <c r="BO337">
        <v>284.93</v>
      </c>
      <c r="BP337">
        <v>71.23</v>
      </c>
      <c r="BQ337">
        <f t="shared" si="5"/>
        <v>1994.5</v>
      </c>
      <c r="BR337" t="s">
        <v>83</v>
      </c>
    </row>
    <row r="338" spans="1:70">
      <c r="A338" t="s">
        <v>1685</v>
      </c>
      <c r="B338" t="s">
        <v>1686</v>
      </c>
      <c r="C338" t="s">
        <v>71</v>
      </c>
      <c r="D338" t="s">
        <v>289</v>
      </c>
      <c r="E338" t="s">
        <v>73</v>
      </c>
      <c r="F338" t="s">
        <v>74</v>
      </c>
      <c r="G338">
        <v>241162</v>
      </c>
      <c r="H338" t="s">
        <v>74</v>
      </c>
      <c r="I338" t="s">
        <v>75</v>
      </c>
      <c r="J338" t="s">
        <v>74</v>
      </c>
      <c r="K338" t="s">
        <v>1687</v>
      </c>
      <c r="L338" t="s">
        <v>77</v>
      </c>
      <c r="M338" t="s">
        <v>78</v>
      </c>
      <c r="N338" t="s">
        <v>558</v>
      </c>
      <c r="O338" t="s">
        <v>1688</v>
      </c>
      <c r="P338" t="s">
        <v>163</v>
      </c>
      <c r="X338">
        <v>7</v>
      </c>
      <c r="AF338" t="s">
        <v>345</v>
      </c>
      <c r="AG338" t="s">
        <v>296</v>
      </c>
      <c r="AH338" t="s">
        <v>345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1.05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323.33</v>
      </c>
      <c r="BE338">
        <v>0</v>
      </c>
      <c r="BF338">
        <v>280</v>
      </c>
      <c r="BG338">
        <v>0</v>
      </c>
      <c r="BH338">
        <v>0</v>
      </c>
      <c r="BI338">
        <v>56</v>
      </c>
      <c r="BJ338">
        <v>0</v>
      </c>
      <c r="BK338">
        <v>0</v>
      </c>
      <c r="BL338">
        <v>0</v>
      </c>
      <c r="BM338">
        <v>0</v>
      </c>
      <c r="BN338">
        <v>660.38</v>
      </c>
      <c r="BO338">
        <v>105.66</v>
      </c>
      <c r="BP338">
        <v>26.41</v>
      </c>
      <c r="BQ338">
        <f t="shared" si="5"/>
        <v>739.63</v>
      </c>
      <c r="BR338" t="s">
        <v>560</v>
      </c>
    </row>
    <row r="339" spans="1:70">
      <c r="A339" t="s">
        <v>1689</v>
      </c>
      <c r="B339" t="s">
        <v>1690</v>
      </c>
      <c r="C339" t="s">
        <v>71</v>
      </c>
      <c r="D339" t="s">
        <v>289</v>
      </c>
      <c r="E339" t="s">
        <v>73</v>
      </c>
      <c r="F339" t="s">
        <v>74</v>
      </c>
      <c r="G339">
        <v>241164</v>
      </c>
      <c r="H339" t="s">
        <v>74</v>
      </c>
      <c r="I339" t="s">
        <v>75</v>
      </c>
      <c r="J339" t="s">
        <v>74</v>
      </c>
      <c r="K339" t="s">
        <v>1691</v>
      </c>
      <c r="L339" t="s">
        <v>77</v>
      </c>
      <c r="M339" t="s">
        <v>78</v>
      </c>
      <c r="N339" t="s">
        <v>1101</v>
      </c>
      <c r="O339" t="s">
        <v>1361</v>
      </c>
      <c r="P339" t="s">
        <v>163</v>
      </c>
      <c r="Z339">
        <v>2</v>
      </c>
      <c r="AF339" t="s">
        <v>339</v>
      </c>
      <c r="AG339" t="s">
        <v>296</v>
      </c>
      <c r="AH339" t="s">
        <v>339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0.3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375.4</v>
      </c>
      <c r="BE339">
        <v>0</v>
      </c>
      <c r="BF339">
        <v>80</v>
      </c>
      <c r="BG339">
        <v>0</v>
      </c>
      <c r="BH339">
        <v>0</v>
      </c>
      <c r="BI339">
        <v>16</v>
      </c>
      <c r="BJ339">
        <v>0</v>
      </c>
      <c r="BK339">
        <v>0</v>
      </c>
      <c r="BL339">
        <v>0</v>
      </c>
      <c r="BM339">
        <v>0</v>
      </c>
      <c r="BN339">
        <v>471.7</v>
      </c>
      <c r="BO339">
        <v>75.47</v>
      </c>
      <c r="BP339">
        <v>18.87</v>
      </c>
      <c r="BQ339">
        <f t="shared" si="5"/>
        <v>528.29999999999995</v>
      </c>
      <c r="BR339" t="s">
        <v>1101</v>
      </c>
    </row>
    <row r="340" spans="1:70">
      <c r="A340" t="s">
        <v>1692</v>
      </c>
      <c r="B340" t="s">
        <v>1693</v>
      </c>
      <c r="C340" t="s">
        <v>71</v>
      </c>
      <c r="D340" t="s">
        <v>289</v>
      </c>
      <c r="E340" t="s">
        <v>73</v>
      </c>
      <c r="F340" t="s">
        <v>74</v>
      </c>
      <c r="G340">
        <v>241165</v>
      </c>
      <c r="H340" t="s">
        <v>74</v>
      </c>
      <c r="I340" t="s">
        <v>75</v>
      </c>
      <c r="J340" t="s">
        <v>74</v>
      </c>
      <c r="K340" t="s">
        <v>1694</v>
      </c>
      <c r="L340" t="s">
        <v>77</v>
      </c>
      <c r="M340" t="s">
        <v>78</v>
      </c>
      <c r="N340" t="s">
        <v>432</v>
      </c>
      <c r="O340" t="s">
        <v>1695</v>
      </c>
      <c r="P340" t="s">
        <v>163</v>
      </c>
      <c r="V340">
        <v>1</v>
      </c>
      <c r="AF340" t="s">
        <v>295</v>
      </c>
      <c r="AG340" t="s">
        <v>296</v>
      </c>
      <c r="AH340" t="s">
        <v>295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0.15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423.55</v>
      </c>
      <c r="BE340">
        <v>0</v>
      </c>
      <c r="BF340">
        <v>40</v>
      </c>
      <c r="BG340">
        <v>0</v>
      </c>
      <c r="BH340">
        <v>0</v>
      </c>
      <c r="BI340">
        <v>8</v>
      </c>
      <c r="BJ340">
        <v>0</v>
      </c>
      <c r="BK340">
        <v>0</v>
      </c>
      <c r="BL340">
        <v>0</v>
      </c>
      <c r="BM340">
        <v>0</v>
      </c>
      <c r="BN340">
        <v>471.7</v>
      </c>
      <c r="BO340">
        <v>75.47</v>
      </c>
      <c r="BP340">
        <v>18.87</v>
      </c>
      <c r="BQ340">
        <f t="shared" si="5"/>
        <v>528.29999999999995</v>
      </c>
      <c r="BR340" t="s">
        <v>432</v>
      </c>
    </row>
    <row r="341" spans="1:70">
      <c r="A341" t="s">
        <v>1696</v>
      </c>
      <c r="B341" t="s">
        <v>1697</v>
      </c>
      <c r="C341" t="s">
        <v>71</v>
      </c>
      <c r="D341" t="s">
        <v>289</v>
      </c>
      <c r="E341" t="s">
        <v>73</v>
      </c>
      <c r="F341" t="s">
        <v>74</v>
      </c>
      <c r="G341">
        <v>241160</v>
      </c>
      <c r="H341" t="s">
        <v>74</v>
      </c>
      <c r="I341" t="s">
        <v>75</v>
      </c>
      <c r="J341" t="s">
        <v>74</v>
      </c>
      <c r="K341" t="s">
        <v>1698</v>
      </c>
      <c r="L341" t="s">
        <v>77</v>
      </c>
      <c r="M341" t="s">
        <v>78</v>
      </c>
      <c r="N341" t="s">
        <v>421</v>
      </c>
      <c r="O341" t="s">
        <v>422</v>
      </c>
      <c r="P341" t="s">
        <v>163</v>
      </c>
      <c r="V341">
        <v>1</v>
      </c>
      <c r="AF341" t="s">
        <v>295</v>
      </c>
      <c r="AG341" t="s">
        <v>296</v>
      </c>
      <c r="AH341" t="s">
        <v>295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0.15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423.55</v>
      </c>
      <c r="BE341">
        <v>0</v>
      </c>
      <c r="BF341">
        <v>40</v>
      </c>
      <c r="BG341">
        <v>0</v>
      </c>
      <c r="BH341">
        <v>0</v>
      </c>
      <c r="BI341">
        <v>8</v>
      </c>
      <c r="BJ341">
        <v>0</v>
      </c>
      <c r="BK341">
        <v>0</v>
      </c>
      <c r="BL341">
        <v>0</v>
      </c>
      <c r="BM341">
        <v>0</v>
      </c>
      <c r="BN341">
        <v>471.7</v>
      </c>
      <c r="BO341">
        <v>75.47</v>
      </c>
      <c r="BP341">
        <v>18.87</v>
      </c>
      <c r="BQ341">
        <f t="shared" si="5"/>
        <v>528.29999999999995</v>
      </c>
      <c r="BR341" t="s">
        <v>423</v>
      </c>
    </row>
    <row r="342" spans="1:70">
      <c r="A342" t="s">
        <v>1699</v>
      </c>
      <c r="B342" t="s">
        <v>1700</v>
      </c>
      <c r="C342" t="s">
        <v>71</v>
      </c>
      <c r="D342" t="s">
        <v>289</v>
      </c>
      <c r="E342" t="s">
        <v>73</v>
      </c>
      <c r="F342" t="s">
        <v>74</v>
      </c>
      <c r="G342">
        <v>241159</v>
      </c>
      <c r="H342" t="s">
        <v>74</v>
      </c>
      <c r="I342" t="s">
        <v>75</v>
      </c>
      <c r="J342" t="s">
        <v>74</v>
      </c>
      <c r="K342" t="s">
        <v>1701</v>
      </c>
      <c r="L342" t="s">
        <v>77</v>
      </c>
      <c r="M342" t="s">
        <v>78</v>
      </c>
      <c r="N342" t="s">
        <v>1110</v>
      </c>
      <c r="O342" t="s">
        <v>1111</v>
      </c>
      <c r="P342" t="s">
        <v>163</v>
      </c>
      <c r="Z342">
        <v>2</v>
      </c>
      <c r="AF342" t="s">
        <v>339</v>
      </c>
      <c r="AG342" t="s">
        <v>296</v>
      </c>
      <c r="AH342" t="s">
        <v>339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0.3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327.7</v>
      </c>
      <c r="BE342">
        <v>0</v>
      </c>
      <c r="BF342">
        <v>80</v>
      </c>
      <c r="BG342">
        <v>0</v>
      </c>
      <c r="BH342">
        <v>0</v>
      </c>
      <c r="BI342">
        <v>16</v>
      </c>
      <c r="BJ342">
        <v>0</v>
      </c>
      <c r="BK342">
        <v>0</v>
      </c>
      <c r="BL342">
        <v>0</v>
      </c>
      <c r="BM342">
        <v>0</v>
      </c>
      <c r="BN342">
        <v>424</v>
      </c>
      <c r="BO342">
        <v>67.84</v>
      </c>
      <c r="BP342">
        <v>16.96</v>
      </c>
      <c r="BQ342">
        <f t="shared" si="5"/>
        <v>474.88000000000005</v>
      </c>
      <c r="BR342" t="s">
        <v>371</v>
      </c>
    </row>
    <row r="343" spans="1:70">
      <c r="A343" t="s">
        <v>1702</v>
      </c>
      <c r="B343" t="s">
        <v>1703</v>
      </c>
      <c r="C343" t="s">
        <v>71</v>
      </c>
      <c r="D343" t="s">
        <v>289</v>
      </c>
      <c r="E343" t="s">
        <v>73</v>
      </c>
      <c r="F343" t="s">
        <v>74</v>
      </c>
      <c r="G343">
        <v>241158</v>
      </c>
      <c r="H343" t="s">
        <v>74</v>
      </c>
      <c r="I343" t="s">
        <v>75</v>
      </c>
      <c r="J343" t="s">
        <v>74</v>
      </c>
      <c r="K343" t="s">
        <v>1704</v>
      </c>
      <c r="L343" t="s">
        <v>77</v>
      </c>
      <c r="M343" t="s">
        <v>78</v>
      </c>
      <c r="N343" t="s">
        <v>474</v>
      </c>
      <c r="O343" t="s">
        <v>1705</v>
      </c>
      <c r="P343" t="s">
        <v>163</v>
      </c>
      <c r="X343">
        <v>9</v>
      </c>
      <c r="AF343" t="s">
        <v>407</v>
      </c>
      <c r="AG343" t="s">
        <v>296</v>
      </c>
      <c r="AH343" t="s">
        <v>407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1.35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415.71</v>
      </c>
      <c r="BE343">
        <v>0</v>
      </c>
      <c r="BF343">
        <v>360</v>
      </c>
      <c r="BG343">
        <v>0</v>
      </c>
      <c r="BH343">
        <v>0</v>
      </c>
      <c r="BI343">
        <v>72</v>
      </c>
      <c r="BJ343">
        <v>0</v>
      </c>
      <c r="BK343">
        <v>0</v>
      </c>
      <c r="BL343">
        <v>0</v>
      </c>
      <c r="BM343">
        <v>0</v>
      </c>
      <c r="BN343">
        <v>849.06</v>
      </c>
      <c r="BO343">
        <v>135.85</v>
      </c>
      <c r="BP343">
        <v>33.96</v>
      </c>
      <c r="BQ343">
        <f t="shared" si="5"/>
        <v>950.94999999999993</v>
      </c>
      <c r="BR343" t="s">
        <v>476</v>
      </c>
    </row>
    <row r="344" spans="1:70">
      <c r="A344" t="s">
        <v>1706</v>
      </c>
      <c r="B344" t="s">
        <v>1707</v>
      </c>
      <c r="C344" t="s">
        <v>71</v>
      </c>
      <c r="D344" t="s">
        <v>289</v>
      </c>
      <c r="E344" t="s">
        <v>73</v>
      </c>
      <c r="F344" t="s">
        <v>74</v>
      </c>
      <c r="G344">
        <v>241156</v>
      </c>
      <c r="H344" t="s">
        <v>74</v>
      </c>
      <c r="I344" t="s">
        <v>75</v>
      </c>
      <c r="J344" t="s">
        <v>74</v>
      </c>
      <c r="K344" t="s">
        <v>1708</v>
      </c>
      <c r="L344" t="s">
        <v>77</v>
      </c>
      <c r="M344" t="s">
        <v>78</v>
      </c>
      <c r="N344" t="s">
        <v>866</v>
      </c>
      <c r="O344" t="s">
        <v>1709</v>
      </c>
      <c r="P344" t="s">
        <v>163</v>
      </c>
      <c r="X344">
        <v>68</v>
      </c>
      <c r="AF344" t="s">
        <v>1710</v>
      </c>
      <c r="AG344" t="s">
        <v>296</v>
      </c>
      <c r="AH344" t="s">
        <v>1710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10.199999999999999</v>
      </c>
      <c r="AT344">
        <v>0</v>
      </c>
      <c r="AU344">
        <v>0</v>
      </c>
      <c r="AV344">
        <v>1787.72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3140.92</v>
      </c>
      <c r="BE344">
        <v>0</v>
      </c>
      <c r="BF344">
        <v>2720</v>
      </c>
      <c r="BG344">
        <v>0</v>
      </c>
      <c r="BH344">
        <v>0</v>
      </c>
      <c r="BI344">
        <v>544</v>
      </c>
      <c r="BJ344">
        <v>0</v>
      </c>
      <c r="BK344">
        <v>0</v>
      </c>
      <c r="BL344">
        <v>0</v>
      </c>
      <c r="BM344">
        <v>0</v>
      </c>
      <c r="BN344">
        <v>8202.84</v>
      </c>
      <c r="BO344">
        <v>1312.46</v>
      </c>
      <c r="BP344">
        <v>256.61</v>
      </c>
      <c r="BQ344">
        <f t="shared" si="5"/>
        <v>9258.6899999999987</v>
      </c>
      <c r="BR344" t="s">
        <v>866</v>
      </c>
    </row>
    <row r="345" spans="1:70">
      <c r="A345" t="s">
        <v>1711</v>
      </c>
      <c r="B345" t="s">
        <v>1712</v>
      </c>
      <c r="C345" t="s">
        <v>71</v>
      </c>
      <c r="D345" t="s">
        <v>289</v>
      </c>
      <c r="E345" t="s">
        <v>73</v>
      </c>
      <c r="F345" t="s">
        <v>74</v>
      </c>
      <c r="G345">
        <v>241150</v>
      </c>
      <c r="H345" t="s">
        <v>74</v>
      </c>
      <c r="I345" t="s">
        <v>75</v>
      </c>
      <c r="J345" t="s">
        <v>74</v>
      </c>
      <c r="K345" t="s">
        <v>1713</v>
      </c>
      <c r="L345" t="s">
        <v>77</v>
      </c>
      <c r="M345" t="s">
        <v>78</v>
      </c>
      <c r="N345" t="s">
        <v>1337</v>
      </c>
      <c r="O345" t="s">
        <v>1714</v>
      </c>
      <c r="P345" t="s">
        <v>163</v>
      </c>
      <c r="X345">
        <v>12</v>
      </c>
      <c r="AF345" t="s">
        <v>379</v>
      </c>
      <c r="AG345" t="s">
        <v>296</v>
      </c>
      <c r="AH345" t="s">
        <v>379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1.8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554.28</v>
      </c>
      <c r="BE345">
        <v>0</v>
      </c>
      <c r="BF345">
        <v>480</v>
      </c>
      <c r="BG345">
        <v>0</v>
      </c>
      <c r="BH345">
        <v>0</v>
      </c>
      <c r="BI345">
        <v>96</v>
      </c>
      <c r="BJ345">
        <v>0</v>
      </c>
      <c r="BK345">
        <v>0</v>
      </c>
      <c r="BL345">
        <v>0</v>
      </c>
      <c r="BM345">
        <v>0</v>
      </c>
      <c r="BN345">
        <v>1132.08</v>
      </c>
      <c r="BO345">
        <v>181.13</v>
      </c>
      <c r="BP345">
        <v>45.28</v>
      </c>
      <c r="BQ345">
        <f t="shared" si="5"/>
        <v>1267.93</v>
      </c>
      <c r="BR345" t="s">
        <v>1339</v>
      </c>
    </row>
    <row r="346" spans="1:70">
      <c r="A346" t="s">
        <v>1715</v>
      </c>
      <c r="B346" t="s">
        <v>1716</v>
      </c>
      <c r="C346" t="s">
        <v>71</v>
      </c>
      <c r="D346" t="s">
        <v>289</v>
      </c>
      <c r="E346" t="s">
        <v>73</v>
      </c>
      <c r="F346" t="s">
        <v>74</v>
      </c>
      <c r="G346">
        <v>241149</v>
      </c>
      <c r="H346" t="s">
        <v>74</v>
      </c>
      <c r="I346" t="s">
        <v>75</v>
      </c>
      <c r="J346" t="s">
        <v>74</v>
      </c>
      <c r="K346" t="s">
        <v>1717</v>
      </c>
      <c r="L346" t="s">
        <v>77</v>
      </c>
      <c r="M346" t="s">
        <v>78</v>
      </c>
      <c r="N346" t="s">
        <v>330</v>
      </c>
      <c r="O346" t="s">
        <v>1718</v>
      </c>
      <c r="P346" t="s">
        <v>163</v>
      </c>
      <c r="X346">
        <v>6</v>
      </c>
      <c r="AF346" t="s">
        <v>400</v>
      </c>
      <c r="AG346" t="s">
        <v>296</v>
      </c>
      <c r="AH346" t="s">
        <v>400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0.9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277.14</v>
      </c>
      <c r="BE346">
        <v>0</v>
      </c>
      <c r="BF346">
        <v>240</v>
      </c>
      <c r="BG346">
        <v>0</v>
      </c>
      <c r="BH346">
        <v>0</v>
      </c>
      <c r="BI346">
        <v>48</v>
      </c>
      <c r="BJ346">
        <v>0</v>
      </c>
      <c r="BK346">
        <v>0</v>
      </c>
      <c r="BL346">
        <v>0</v>
      </c>
      <c r="BM346">
        <v>0</v>
      </c>
      <c r="BN346">
        <v>566.04</v>
      </c>
      <c r="BO346">
        <v>90.56</v>
      </c>
      <c r="BP346">
        <v>22.65</v>
      </c>
      <c r="BQ346">
        <f t="shared" si="5"/>
        <v>633.94999999999993</v>
      </c>
      <c r="BR346" t="s">
        <v>332</v>
      </c>
    </row>
    <row r="347" spans="1:70">
      <c r="A347" t="s">
        <v>1719</v>
      </c>
      <c r="B347" t="s">
        <v>1720</v>
      </c>
      <c r="C347" t="s">
        <v>71</v>
      </c>
      <c r="D347" t="s">
        <v>289</v>
      </c>
      <c r="E347" t="s">
        <v>73</v>
      </c>
      <c r="F347" t="s">
        <v>74</v>
      </c>
      <c r="G347">
        <v>241148</v>
      </c>
      <c r="H347" t="s">
        <v>74</v>
      </c>
      <c r="I347" t="s">
        <v>75</v>
      </c>
      <c r="J347" t="s">
        <v>74</v>
      </c>
      <c r="K347" t="s">
        <v>1721</v>
      </c>
      <c r="L347" t="s">
        <v>77</v>
      </c>
      <c r="M347" t="s">
        <v>78</v>
      </c>
      <c r="N347" t="s">
        <v>591</v>
      </c>
      <c r="O347" t="s">
        <v>1722</v>
      </c>
      <c r="P347" t="s">
        <v>163</v>
      </c>
      <c r="AD347">
        <v>4</v>
      </c>
      <c r="AF347" t="s">
        <v>326</v>
      </c>
      <c r="AG347" t="s">
        <v>296</v>
      </c>
      <c r="AH347" t="s">
        <v>326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0.6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279.12</v>
      </c>
      <c r="BE347">
        <v>0</v>
      </c>
      <c r="BF347">
        <v>160</v>
      </c>
      <c r="BG347">
        <v>0</v>
      </c>
      <c r="BH347">
        <v>0</v>
      </c>
      <c r="BI347">
        <v>32</v>
      </c>
      <c r="BJ347">
        <v>0</v>
      </c>
      <c r="BK347">
        <v>0</v>
      </c>
      <c r="BL347">
        <v>0</v>
      </c>
      <c r="BM347">
        <v>0</v>
      </c>
      <c r="BN347">
        <v>471.72</v>
      </c>
      <c r="BO347">
        <v>75.48</v>
      </c>
      <c r="BP347">
        <v>18.86</v>
      </c>
      <c r="BQ347">
        <f t="shared" si="5"/>
        <v>528.34</v>
      </c>
      <c r="BR347" t="s">
        <v>591</v>
      </c>
    </row>
    <row r="348" spans="1:70">
      <c r="A348" t="s">
        <v>1723</v>
      </c>
      <c r="B348" t="s">
        <v>1724</v>
      </c>
      <c r="C348" t="s">
        <v>71</v>
      </c>
      <c r="D348" t="s">
        <v>289</v>
      </c>
      <c r="E348" t="s">
        <v>73</v>
      </c>
      <c r="F348" t="s">
        <v>74</v>
      </c>
      <c r="G348">
        <v>241147</v>
      </c>
      <c r="H348" t="s">
        <v>74</v>
      </c>
      <c r="I348" t="s">
        <v>75</v>
      </c>
      <c r="J348" t="s">
        <v>74</v>
      </c>
      <c r="K348" t="s">
        <v>1725</v>
      </c>
      <c r="L348" t="s">
        <v>77</v>
      </c>
      <c r="M348" t="s">
        <v>78</v>
      </c>
      <c r="N348" t="s">
        <v>748</v>
      </c>
      <c r="O348" t="s">
        <v>1726</v>
      </c>
      <c r="P348" t="s">
        <v>163</v>
      </c>
      <c r="X348">
        <v>10</v>
      </c>
      <c r="AF348" t="s">
        <v>372</v>
      </c>
      <c r="AG348" t="s">
        <v>296</v>
      </c>
      <c r="AH348" t="s">
        <v>372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1.5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154.5</v>
      </c>
      <c r="BE348">
        <v>0</v>
      </c>
      <c r="BF348">
        <v>400</v>
      </c>
      <c r="BG348">
        <v>0</v>
      </c>
      <c r="BH348">
        <v>0</v>
      </c>
      <c r="BI348">
        <v>80</v>
      </c>
      <c r="BJ348">
        <v>0</v>
      </c>
      <c r="BK348">
        <v>0</v>
      </c>
      <c r="BL348">
        <v>0</v>
      </c>
      <c r="BM348">
        <v>0</v>
      </c>
      <c r="BN348">
        <v>636</v>
      </c>
      <c r="BO348">
        <v>101.76</v>
      </c>
      <c r="BP348">
        <v>25.44</v>
      </c>
      <c r="BQ348">
        <f t="shared" si="5"/>
        <v>712.31999999999994</v>
      </c>
      <c r="BR348" t="s">
        <v>748</v>
      </c>
    </row>
    <row r="349" spans="1:70">
      <c r="A349" t="s">
        <v>1727</v>
      </c>
      <c r="B349" t="s">
        <v>1728</v>
      </c>
      <c r="C349" t="s">
        <v>71</v>
      </c>
      <c r="D349" t="s">
        <v>289</v>
      </c>
      <c r="E349" t="s">
        <v>73</v>
      </c>
      <c r="F349" t="s">
        <v>74</v>
      </c>
      <c r="G349">
        <v>241144</v>
      </c>
      <c r="H349" t="s">
        <v>74</v>
      </c>
      <c r="I349" t="s">
        <v>75</v>
      </c>
      <c r="J349" t="s">
        <v>74</v>
      </c>
      <c r="K349" t="s">
        <v>1729</v>
      </c>
      <c r="L349" t="s">
        <v>77</v>
      </c>
      <c r="M349" t="s">
        <v>78</v>
      </c>
      <c r="N349" t="s">
        <v>1730</v>
      </c>
      <c r="O349" t="s">
        <v>1731</v>
      </c>
      <c r="P349" t="s">
        <v>163</v>
      </c>
      <c r="X349">
        <v>5</v>
      </c>
      <c r="AF349" t="s">
        <v>333</v>
      </c>
      <c r="AG349" t="s">
        <v>296</v>
      </c>
      <c r="AH349" t="s">
        <v>333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0.75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230.95</v>
      </c>
      <c r="BE349">
        <v>0</v>
      </c>
      <c r="BF349">
        <v>200</v>
      </c>
      <c r="BG349">
        <v>0</v>
      </c>
      <c r="BH349">
        <v>0</v>
      </c>
      <c r="BI349">
        <v>40</v>
      </c>
      <c r="BJ349">
        <v>0</v>
      </c>
      <c r="BK349">
        <v>0</v>
      </c>
      <c r="BL349">
        <v>0</v>
      </c>
      <c r="BM349">
        <v>0</v>
      </c>
      <c r="BN349">
        <v>471.7</v>
      </c>
      <c r="BO349">
        <v>75.47</v>
      </c>
      <c r="BP349">
        <v>18.87</v>
      </c>
      <c r="BQ349">
        <f t="shared" si="5"/>
        <v>528.29999999999995</v>
      </c>
      <c r="BR349" t="s">
        <v>1732</v>
      </c>
    </row>
    <row r="350" spans="1:70">
      <c r="A350" t="s">
        <v>1733</v>
      </c>
      <c r="B350" t="s">
        <v>1734</v>
      </c>
      <c r="C350" t="s">
        <v>71</v>
      </c>
      <c r="D350" t="s">
        <v>289</v>
      </c>
      <c r="E350" t="s">
        <v>73</v>
      </c>
      <c r="F350" t="s">
        <v>74</v>
      </c>
      <c r="G350">
        <v>241136</v>
      </c>
      <c r="H350" t="s">
        <v>74</v>
      </c>
      <c r="I350" t="s">
        <v>75</v>
      </c>
      <c r="J350" t="s">
        <v>74</v>
      </c>
      <c r="K350" t="s">
        <v>1735</v>
      </c>
      <c r="L350" t="s">
        <v>77</v>
      </c>
      <c r="M350" t="s">
        <v>78</v>
      </c>
      <c r="N350" t="s">
        <v>79</v>
      </c>
      <c r="O350" t="s">
        <v>1021</v>
      </c>
      <c r="P350" t="s">
        <v>163</v>
      </c>
      <c r="V350">
        <v>1</v>
      </c>
      <c r="AF350" t="s">
        <v>295</v>
      </c>
      <c r="AG350" t="s">
        <v>296</v>
      </c>
      <c r="AH350" t="s">
        <v>295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0.15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375.85</v>
      </c>
      <c r="BE350">
        <v>0</v>
      </c>
      <c r="BF350">
        <v>40</v>
      </c>
      <c r="BG350">
        <v>0</v>
      </c>
      <c r="BH350">
        <v>0</v>
      </c>
      <c r="BI350">
        <v>8</v>
      </c>
      <c r="BJ350">
        <v>0</v>
      </c>
      <c r="BK350">
        <v>0</v>
      </c>
      <c r="BL350">
        <v>0</v>
      </c>
      <c r="BM350">
        <v>0</v>
      </c>
      <c r="BN350">
        <v>424</v>
      </c>
      <c r="BO350">
        <v>67.84</v>
      </c>
      <c r="BP350">
        <v>16.96</v>
      </c>
      <c r="BQ350">
        <f t="shared" si="5"/>
        <v>474.88000000000005</v>
      </c>
      <c r="BR350" t="s">
        <v>83</v>
      </c>
    </row>
    <row r="351" spans="1:70">
      <c r="A351" t="s">
        <v>1736</v>
      </c>
      <c r="B351" t="s">
        <v>1737</v>
      </c>
      <c r="C351" t="s">
        <v>71</v>
      </c>
      <c r="D351" t="s">
        <v>289</v>
      </c>
      <c r="E351" t="s">
        <v>73</v>
      </c>
      <c r="F351" t="s">
        <v>74</v>
      </c>
      <c r="G351">
        <v>241135</v>
      </c>
      <c r="H351" t="s">
        <v>74</v>
      </c>
      <c r="I351" t="s">
        <v>75</v>
      </c>
      <c r="J351" t="s">
        <v>74</v>
      </c>
      <c r="K351" t="s">
        <v>1738</v>
      </c>
      <c r="L351" t="s">
        <v>77</v>
      </c>
      <c r="M351" t="s">
        <v>78</v>
      </c>
      <c r="N351" t="s">
        <v>337</v>
      </c>
      <c r="O351" t="s">
        <v>1739</v>
      </c>
      <c r="P351" t="s">
        <v>163</v>
      </c>
      <c r="V351">
        <v>1</v>
      </c>
      <c r="AF351" t="s">
        <v>295</v>
      </c>
      <c r="AG351" t="s">
        <v>296</v>
      </c>
      <c r="AH351" t="s">
        <v>295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0.15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423.55</v>
      </c>
      <c r="BE351">
        <v>0</v>
      </c>
      <c r="BF351">
        <v>40</v>
      </c>
      <c r="BG351">
        <v>0</v>
      </c>
      <c r="BH351">
        <v>0</v>
      </c>
      <c r="BI351">
        <v>8</v>
      </c>
      <c r="BJ351">
        <v>0</v>
      </c>
      <c r="BK351">
        <v>0</v>
      </c>
      <c r="BL351">
        <v>0</v>
      </c>
      <c r="BM351">
        <v>0</v>
      </c>
      <c r="BN351">
        <v>471.7</v>
      </c>
      <c r="BO351">
        <v>75.47</v>
      </c>
      <c r="BP351">
        <v>18.87</v>
      </c>
      <c r="BQ351">
        <f t="shared" si="5"/>
        <v>528.29999999999995</v>
      </c>
      <c r="BR351" t="s">
        <v>337</v>
      </c>
    </row>
    <row r="352" spans="1:70">
      <c r="A352" t="s">
        <v>1740</v>
      </c>
      <c r="B352" t="s">
        <v>1741</v>
      </c>
      <c r="C352" t="s">
        <v>71</v>
      </c>
      <c r="D352" t="s">
        <v>289</v>
      </c>
      <c r="E352" t="s">
        <v>73</v>
      </c>
      <c r="F352" t="s">
        <v>74</v>
      </c>
      <c r="G352">
        <v>219148</v>
      </c>
      <c r="H352" t="s">
        <v>74</v>
      </c>
      <c r="I352" t="s">
        <v>75</v>
      </c>
      <c r="J352" t="s">
        <v>74</v>
      </c>
      <c r="K352" t="s">
        <v>1742</v>
      </c>
      <c r="L352" t="s">
        <v>77</v>
      </c>
      <c r="M352" t="s">
        <v>78</v>
      </c>
      <c r="N352" t="s">
        <v>175</v>
      </c>
      <c r="O352" t="s">
        <v>1399</v>
      </c>
      <c r="P352" t="s">
        <v>163</v>
      </c>
      <c r="X352">
        <v>19</v>
      </c>
      <c r="AF352" t="s">
        <v>569</v>
      </c>
      <c r="AG352" t="s">
        <v>296</v>
      </c>
      <c r="AH352" t="s">
        <v>569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2.85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877.61</v>
      </c>
      <c r="BE352">
        <v>0</v>
      </c>
      <c r="BF352">
        <v>760</v>
      </c>
      <c r="BG352">
        <v>0</v>
      </c>
      <c r="BH352">
        <v>0</v>
      </c>
      <c r="BI352">
        <v>152</v>
      </c>
      <c r="BJ352">
        <v>0</v>
      </c>
      <c r="BK352">
        <v>0</v>
      </c>
      <c r="BL352">
        <v>0</v>
      </c>
      <c r="BM352">
        <v>0</v>
      </c>
      <c r="BN352">
        <v>1792.46</v>
      </c>
      <c r="BO352">
        <v>286.8</v>
      </c>
      <c r="BP352">
        <v>71.69</v>
      </c>
      <c r="BQ352">
        <f t="shared" si="5"/>
        <v>2007.5700000000002</v>
      </c>
      <c r="BR352" t="s">
        <v>175</v>
      </c>
    </row>
    <row r="353" spans="1:70">
      <c r="A353" t="s">
        <v>1743</v>
      </c>
      <c r="B353" t="s">
        <v>1744</v>
      </c>
      <c r="C353" t="s">
        <v>71</v>
      </c>
      <c r="D353" t="s">
        <v>289</v>
      </c>
      <c r="E353" t="s">
        <v>73</v>
      </c>
      <c r="F353" t="s">
        <v>74</v>
      </c>
      <c r="G353">
        <v>241140</v>
      </c>
      <c r="H353" t="s">
        <v>74</v>
      </c>
      <c r="I353" t="s">
        <v>75</v>
      </c>
      <c r="J353" t="s">
        <v>74</v>
      </c>
      <c r="K353" t="s">
        <v>1745</v>
      </c>
      <c r="L353" t="s">
        <v>77</v>
      </c>
      <c r="M353" t="s">
        <v>78</v>
      </c>
      <c r="N353" t="s">
        <v>468</v>
      </c>
      <c r="O353" t="s">
        <v>469</v>
      </c>
      <c r="P353" t="s">
        <v>163</v>
      </c>
      <c r="V353">
        <v>1</v>
      </c>
      <c r="AF353" t="s">
        <v>295</v>
      </c>
      <c r="AG353" t="s">
        <v>296</v>
      </c>
      <c r="AH353" t="s">
        <v>295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0.15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423.55</v>
      </c>
      <c r="BE353">
        <v>0</v>
      </c>
      <c r="BF353">
        <v>40</v>
      </c>
      <c r="BG353">
        <v>0</v>
      </c>
      <c r="BH353">
        <v>0</v>
      </c>
      <c r="BI353">
        <v>8</v>
      </c>
      <c r="BJ353">
        <v>0</v>
      </c>
      <c r="BK353">
        <v>0</v>
      </c>
      <c r="BL353">
        <v>0</v>
      </c>
      <c r="BM353">
        <v>0</v>
      </c>
      <c r="BN353">
        <v>471.7</v>
      </c>
      <c r="BO353">
        <v>75.47</v>
      </c>
      <c r="BP353">
        <v>18.87</v>
      </c>
      <c r="BQ353">
        <f t="shared" si="5"/>
        <v>528.29999999999995</v>
      </c>
      <c r="BR353" t="s">
        <v>141</v>
      </c>
    </row>
    <row r="354" spans="1:70">
      <c r="A354" t="s">
        <v>1746</v>
      </c>
      <c r="B354" t="s">
        <v>1747</v>
      </c>
      <c r="C354" t="s">
        <v>71</v>
      </c>
      <c r="D354" t="s">
        <v>289</v>
      </c>
      <c r="E354" t="s">
        <v>73</v>
      </c>
      <c r="F354" t="s">
        <v>74</v>
      </c>
      <c r="G354">
        <v>241137</v>
      </c>
      <c r="H354" t="s">
        <v>74</v>
      </c>
      <c r="I354" t="s">
        <v>75</v>
      </c>
      <c r="K354" t="s">
        <v>1748</v>
      </c>
      <c r="L354" t="s">
        <v>77</v>
      </c>
      <c r="M354" t="s">
        <v>78</v>
      </c>
      <c r="N354" t="s">
        <v>349</v>
      </c>
      <c r="O354" t="s">
        <v>1749</v>
      </c>
      <c r="P354" t="s">
        <v>1750</v>
      </c>
      <c r="AB354">
        <v>3</v>
      </c>
      <c r="AF354" t="s">
        <v>314</v>
      </c>
      <c r="AG354" t="s">
        <v>296</v>
      </c>
      <c r="AH354" t="s">
        <v>314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0.45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327.24</v>
      </c>
      <c r="BE354">
        <v>0</v>
      </c>
      <c r="BF354">
        <v>120</v>
      </c>
      <c r="BG354">
        <v>0</v>
      </c>
      <c r="BH354">
        <v>0</v>
      </c>
      <c r="BI354">
        <v>24</v>
      </c>
      <c r="BJ354">
        <v>0</v>
      </c>
      <c r="BK354">
        <v>0</v>
      </c>
      <c r="BL354">
        <v>0</v>
      </c>
      <c r="BM354">
        <v>0</v>
      </c>
      <c r="BN354">
        <v>471.69</v>
      </c>
      <c r="BO354">
        <v>75.47</v>
      </c>
      <c r="BP354">
        <v>18.87</v>
      </c>
      <c r="BQ354">
        <f t="shared" si="5"/>
        <v>528.29</v>
      </c>
      <c r="BR354" t="s">
        <v>349</v>
      </c>
    </row>
    <row r="355" spans="1:70">
      <c r="A355" t="s">
        <v>1751</v>
      </c>
      <c r="B355" t="s">
        <v>1752</v>
      </c>
      <c r="C355" t="s">
        <v>71</v>
      </c>
      <c r="D355" t="s">
        <v>289</v>
      </c>
      <c r="E355" t="s">
        <v>73</v>
      </c>
      <c r="F355" t="s">
        <v>74</v>
      </c>
      <c r="G355">
        <v>241233</v>
      </c>
      <c r="H355" t="s">
        <v>74</v>
      </c>
      <c r="I355" t="s">
        <v>75</v>
      </c>
      <c r="J355" t="s">
        <v>74</v>
      </c>
      <c r="K355" t="s">
        <v>1753</v>
      </c>
      <c r="L355" t="s">
        <v>77</v>
      </c>
      <c r="M355" t="s">
        <v>78</v>
      </c>
      <c r="N355" t="s">
        <v>406</v>
      </c>
      <c r="O355" t="s">
        <v>1754</v>
      </c>
      <c r="P355" t="s">
        <v>1755</v>
      </c>
      <c r="X355">
        <v>22</v>
      </c>
      <c r="AF355" t="s">
        <v>445</v>
      </c>
      <c r="AG355" t="s">
        <v>296</v>
      </c>
      <c r="AH355" t="s">
        <v>445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3.3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339.9</v>
      </c>
      <c r="BE355">
        <v>0</v>
      </c>
      <c r="BF355">
        <v>880</v>
      </c>
      <c r="BG355">
        <v>0</v>
      </c>
      <c r="BH355">
        <v>0</v>
      </c>
      <c r="BI355">
        <v>176</v>
      </c>
      <c r="BJ355">
        <v>0</v>
      </c>
      <c r="BK355">
        <v>0</v>
      </c>
      <c r="BL355">
        <v>0</v>
      </c>
      <c r="BM355">
        <v>0</v>
      </c>
      <c r="BN355">
        <v>1399.2</v>
      </c>
      <c r="BO355">
        <v>223.87</v>
      </c>
      <c r="BP355">
        <v>55.97</v>
      </c>
      <c r="BQ355">
        <f t="shared" si="5"/>
        <v>1567.1000000000001</v>
      </c>
      <c r="BR355" t="s">
        <v>406</v>
      </c>
    </row>
    <row r="356" spans="1:70">
      <c r="A356" t="s">
        <v>1756</v>
      </c>
      <c r="B356" t="s">
        <v>1757</v>
      </c>
      <c r="C356" t="s">
        <v>71</v>
      </c>
      <c r="D356" t="s">
        <v>289</v>
      </c>
      <c r="E356" t="s">
        <v>73</v>
      </c>
      <c r="F356" t="s">
        <v>74</v>
      </c>
      <c r="G356">
        <v>241229</v>
      </c>
      <c r="H356" t="s">
        <v>74</v>
      </c>
      <c r="I356" t="s">
        <v>75</v>
      </c>
      <c r="J356" t="s">
        <v>74</v>
      </c>
      <c r="K356" t="s">
        <v>1758</v>
      </c>
      <c r="L356" t="s">
        <v>77</v>
      </c>
      <c r="M356" t="s">
        <v>78</v>
      </c>
      <c r="N356" t="s">
        <v>318</v>
      </c>
      <c r="O356" t="s">
        <v>582</v>
      </c>
      <c r="P356" t="s">
        <v>1755</v>
      </c>
      <c r="X356">
        <v>10</v>
      </c>
      <c r="AF356" t="s">
        <v>372</v>
      </c>
      <c r="AG356" t="s">
        <v>296</v>
      </c>
      <c r="AH356" t="s">
        <v>372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1.5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461.9</v>
      </c>
      <c r="BE356">
        <v>0</v>
      </c>
      <c r="BF356">
        <v>400</v>
      </c>
      <c r="BG356">
        <v>0</v>
      </c>
      <c r="BH356">
        <v>0</v>
      </c>
      <c r="BI356">
        <v>80</v>
      </c>
      <c r="BJ356">
        <v>0</v>
      </c>
      <c r="BK356">
        <v>0</v>
      </c>
      <c r="BL356">
        <v>0</v>
      </c>
      <c r="BM356">
        <v>0</v>
      </c>
      <c r="BN356">
        <v>943.4</v>
      </c>
      <c r="BO356">
        <v>150.94</v>
      </c>
      <c r="BP356">
        <v>37.74</v>
      </c>
      <c r="BQ356">
        <f t="shared" si="5"/>
        <v>1056.5999999999999</v>
      </c>
      <c r="BR356" t="s">
        <v>320</v>
      </c>
    </row>
    <row r="357" spans="1:70">
      <c r="A357" t="s">
        <v>1759</v>
      </c>
      <c r="B357" t="s">
        <v>1760</v>
      </c>
      <c r="C357" t="s">
        <v>71</v>
      </c>
      <c r="D357" t="s">
        <v>289</v>
      </c>
      <c r="E357" t="s">
        <v>73</v>
      </c>
      <c r="F357" t="s">
        <v>74</v>
      </c>
      <c r="G357">
        <v>241228</v>
      </c>
      <c r="H357" t="s">
        <v>74</v>
      </c>
      <c r="I357" t="s">
        <v>75</v>
      </c>
      <c r="J357" t="s">
        <v>74</v>
      </c>
      <c r="K357" t="s">
        <v>1761</v>
      </c>
      <c r="L357" t="s">
        <v>77</v>
      </c>
      <c r="M357" t="s">
        <v>78</v>
      </c>
      <c r="N357" t="s">
        <v>1762</v>
      </c>
      <c r="O357" t="s">
        <v>1763</v>
      </c>
      <c r="P357" t="s">
        <v>1755</v>
      </c>
      <c r="V357">
        <v>1</v>
      </c>
      <c r="AF357" t="s">
        <v>295</v>
      </c>
      <c r="AG357" t="s">
        <v>296</v>
      </c>
      <c r="AH357" t="s">
        <v>295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0.15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375.85</v>
      </c>
      <c r="BE357">
        <v>0</v>
      </c>
      <c r="BF357">
        <v>40</v>
      </c>
      <c r="BG357">
        <v>0</v>
      </c>
      <c r="BH357">
        <v>0</v>
      </c>
      <c r="BI357">
        <v>8</v>
      </c>
      <c r="BJ357">
        <v>0</v>
      </c>
      <c r="BK357">
        <v>0</v>
      </c>
      <c r="BL357">
        <v>0</v>
      </c>
      <c r="BM357">
        <v>0</v>
      </c>
      <c r="BN357">
        <v>424</v>
      </c>
      <c r="BO357">
        <v>67.84</v>
      </c>
      <c r="BP357">
        <v>16.96</v>
      </c>
      <c r="BQ357">
        <f t="shared" si="5"/>
        <v>474.88000000000005</v>
      </c>
      <c r="BR357" t="s">
        <v>1762</v>
      </c>
    </row>
    <row r="358" spans="1:70">
      <c r="A358" t="s">
        <v>1764</v>
      </c>
      <c r="B358" t="s">
        <v>1765</v>
      </c>
      <c r="C358" t="s">
        <v>71</v>
      </c>
      <c r="D358" t="s">
        <v>289</v>
      </c>
      <c r="E358" t="s">
        <v>73</v>
      </c>
      <c r="F358" t="s">
        <v>74</v>
      </c>
      <c r="G358">
        <v>241223</v>
      </c>
      <c r="H358" t="s">
        <v>74</v>
      </c>
      <c r="I358" t="s">
        <v>75</v>
      </c>
      <c r="J358" t="s">
        <v>74</v>
      </c>
      <c r="K358" t="s">
        <v>1766</v>
      </c>
      <c r="L358" t="s">
        <v>77</v>
      </c>
      <c r="M358" t="s">
        <v>78</v>
      </c>
      <c r="N358" t="s">
        <v>950</v>
      </c>
      <c r="O358" t="s">
        <v>1767</v>
      </c>
      <c r="P358" t="s">
        <v>1755</v>
      </c>
      <c r="X358">
        <v>10</v>
      </c>
      <c r="AF358" t="s">
        <v>372</v>
      </c>
      <c r="AG358" t="s">
        <v>296</v>
      </c>
      <c r="AH358" t="s">
        <v>372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1.5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154.5</v>
      </c>
      <c r="BE358">
        <v>0</v>
      </c>
      <c r="BF358">
        <v>400</v>
      </c>
      <c r="BG358">
        <v>0</v>
      </c>
      <c r="BH358">
        <v>0</v>
      </c>
      <c r="BI358">
        <v>80</v>
      </c>
      <c r="BJ358">
        <v>0</v>
      </c>
      <c r="BK358">
        <v>0</v>
      </c>
      <c r="BL358">
        <v>0</v>
      </c>
      <c r="BM358">
        <v>0</v>
      </c>
      <c r="BN358">
        <v>636</v>
      </c>
      <c r="BO358">
        <v>101.76</v>
      </c>
      <c r="BP358">
        <v>25.44</v>
      </c>
      <c r="BQ358">
        <f t="shared" si="5"/>
        <v>712.31999999999994</v>
      </c>
      <c r="BR358" t="s">
        <v>950</v>
      </c>
    </row>
    <row r="359" spans="1:70">
      <c r="A359" t="s">
        <v>1768</v>
      </c>
      <c r="B359" t="s">
        <v>1769</v>
      </c>
      <c r="C359" t="s">
        <v>71</v>
      </c>
      <c r="D359" t="s">
        <v>289</v>
      </c>
      <c r="E359" t="s">
        <v>73</v>
      </c>
      <c r="F359" t="s">
        <v>74</v>
      </c>
      <c r="G359">
        <v>241206</v>
      </c>
      <c r="H359" t="s">
        <v>74</v>
      </c>
      <c r="I359" t="s">
        <v>75</v>
      </c>
      <c r="J359" t="s">
        <v>74</v>
      </c>
      <c r="K359" t="s">
        <v>1770</v>
      </c>
      <c r="L359" t="s">
        <v>77</v>
      </c>
      <c r="M359" t="s">
        <v>78</v>
      </c>
      <c r="N359" t="s">
        <v>1762</v>
      </c>
      <c r="O359" t="s">
        <v>1771</v>
      </c>
      <c r="P359" t="s">
        <v>1755</v>
      </c>
      <c r="AD359">
        <v>4</v>
      </c>
      <c r="AF359" t="s">
        <v>326</v>
      </c>
      <c r="AG359" t="s">
        <v>296</v>
      </c>
      <c r="AH359" t="s">
        <v>326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0.6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231.4</v>
      </c>
      <c r="BE359">
        <v>0</v>
      </c>
      <c r="BF359">
        <v>160</v>
      </c>
      <c r="BG359">
        <v>0</v>
      </c>
      <c r="BH359">
        <v>0</v>
      </c>
      <c r="BI359">
        <v>32</v>
      </c>
      <c r="BJ359">
        <v>0</v>
      </c>
      <c r="BK359">
        <v>0</v>
      </c>
      <c r="BL359">
        <v>0</v>
      </c>
      <c r="BM359">
        <v>0</v>
      </c>
      <c r="BN359">
        <v>424</v>
      </c>
      <c r="BO359">
        <v>67.84</v>
      </c>
      <c r="BP359">
        <v>16.96</v>
      </c>
      <c r="BQ359">
        <f t="shared" si="5"/>
        <v>474.88000000000005</v>
      </c>
      <c r="BR359" t="s">
        <v>1762</v>
      </c>
    </row>
    <row r="360" spans="1:70">
      <c r="A360" t="s">
        <v>1772</v>
      </c>
      <c r="B360" t="s">
        <v>1773</v>
      </c>
      <c r="C360" t="s">
        <v>71</v>
      </c>
      <c r="D360" t="s">
        <v>289</v>
      </c>
      <c r="E360" t="s">
        <v>73</v>
      </c>
      <c r="F360" t="s">
        <v>74</v>
      </c>
      <c r="G360">
        <v>241235</v>
      </c>
      <c r="H360" t="s">
        <v>74</v>
      </c>
      <c r="I360" t="s">
        <v>75</v>
      </c>
      <c r="J360" t="s">
        <v>74</v>
      </c>
      <c r="K360" t="s">
        <v>1774</v>
      </c>
      <c r="L360" t="s">
        <v>77</v>
      </c>
      <c r="M360" t="s">
        <v>78</v>
      </c>
      <c r="N360" t="s">
        <v>406</v>
      </c>
      <c r="O360" t="s">
        <v>1754</v>
      </c>
      <c r="P360" t="s">
        <v>1755</v>
      </c>
      <c r="X360">
        <v>16</v>
      </c>
      <c r="AF360" t="s">
        <v>482</v>
      </c>
      <c r="AG360" t="s">
        <v>296</v>
      </c>
      <c r="AH360" t="s">
        <v>482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2.4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247.2</v>
      </c>
      <c r="BE360">
        <v>0</v>
      </c>
      <c r="BF360">
        <v>640</v>
      </c>
      <c r="BG360">
        <v>0</v>
      </c>
      <c r="BH360">
        <v>0</v>
      </c>
      <c r="BI360">
        <v>128</v>
      </c>
      <c r="BJ360">
        <v>0</v>
      </c>
      <c r="BK360">
        <v>0</v>
      </c>
      <c r="BL360">
        <v>0</v>
      </c>
      <c r="BM360">
        <v>0</v>
      </c>
      <c r="BN360">
        <v>1017.6</v>
      </c>
      <c r="BO360">
        <v>162.81</v>
      </c>
      <c r="BP360">
        <v>40.71</v>
      </c>
      <c r="BQ360">
        <f t="shared" si="5"/>
        <v>1139.7</v>
      </c>
      <c r="BR360" t="s">
        <v>406</v>
      </c>
    </row>
    <row r="361" spans="1:70">
      <c r="A361" t="s">
        <v>1775</v>
      </c>
      <c r="B361" t="s">
        <v>1776</v>
      </c>
      <c r="C361" t="s">
        <v>71</v>
      </c>
      <c r="D361" t="s">
        <v>289</v>
      </c>
      <c r="E361" t="s">
        <v>73</v>
      </c>
      <c r="F361" t="s">
        <v>74</v>
      </c>
      <c r="G361">
        <v>241234</v>
      </c>
      <c r="H361" t="s">
        <v>74</v>
      </c>
      <c r="I361" t="s">
        <v>75</v>
      </c>
      <c r="J361" t="s">
        <v>74</v>
      </c>
      <c r="K361" t="s">
        <v>1777</v>
      </c>
      <c r="L361" t="s">
        <v>77</v>
      </c>
      <c r="M361" t="s">
        <v>78</v>
      </c>
      <c r="N361" t="s">
        <v>406</v>
      </c>
      <c r="O361" t="s">
        <v>1778</v>
      </c>
      <c r="P361" t="s">
        <v>1755</v>
      </c>
      <c r="X361">
        <v>11</v>
      </c>
      <c r="AF361" t="s">
        <v>470</v>
      </c>
      <c r="AG361" t="s">
        <v>296</v>
      </c>
      <c r="AH361" t="s">
        <v>470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1.65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169.95</v>
      </c>
      <c r="BE361">
        <v>0</v>
      </c>
      <c r="BF361">
        <v>440</v>
      </c>
      <c r="BG361">
        <v>0</v>
      </c>
      <c r="BH361">
        <v>0</v>
      </c>
      <c r="BI361">
        <v>88</v>
      </c>
      <c r="BJ361">
        <v>0</v>
      </c>
      <c r="BK361">
        <v>0</v>
      </c>
      <c r="BL361">
        <v>0</v>
      </c>
      <c r="BM361">
        <v>0</v>
      </c>
      <c r="BN361">
        <v>699.6</v>
      </c>
      <c r="BO361">
        <v>111.93</v>
      </c>
      <c r="BP361">
        <v>27.99</v>
      </c>
      <c r="BQ361">
        <f t="shared" si="5"/>
        <v>783.54</v>
      </c>
      <c r="BR361" t="s">
        <v>406</v>
      </c>
    </row>
    <row r="362" spans="1:70">
      <c r="A362" t="s">
        <v>1779</v>
      </c>
      <c r="B362" t="s">
        <v>1780</v>
      </c>
      <c r="C362" t="s">
        <v>71</v>
      </c>
      <c r="D362" t="s">
        <v>289</v>
      </c>
      <c r="E362" t="s">
        <v>73</v>
      </c>
      <c r="F362" t="s">
        <v>74</v>
      </c>
      <c r="G362">
        <v>241232</v>
      </c>
      <c r="H362" t="s">
        <v>74</v>
      </c>
      <c r="I362" t="s">
        <v>75</v>
      </c>
      <c r="J362" t="s">
        <v>74</v>
      </c>
      <c r="K362" t="s">
        <v>1781</v>
      </c>
      <c r="L362" t="s">
        <v>77</v>
      </c>
      <c r="M362" t="s">
        <v>78</v>
      </c>
      <c r="N362" t="s">
        <v>558</v>
      </c>
      <c r="O362" t="s">
        <v>1005</v>
      </c>
      <c r="P362" t="s">
        <v>1782</v>
      </c>
      <c r="T362">
        <v>4</v>
      </c>
      <c r="AF362" t="s">
        <v>1234</v>
      </c>
      <c r="AG362" t="s">
        <v>296</v>
      </c>
      <c r="AH362" t="s">
        <v>1234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145.84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9175.2800000000007</v>
      </c>
      <c r="BE362">
        <v>0</v>
      </c>
      <c r="BF362">
        <v>1832.32</v>
      </c>
      <c r="BG362">
        <v>0</v>
      </c>
      <c r="BH362">
        <v>0</v>
      </c>
      <c r="BI362">
        <v>1686.48</v>
      </c>
      <c r="BJ362">
        <v>0</v>
      </c>
      <c r="BK362">
        <v>0</v>
      </c>
      <c r="BL362">
        <v>0</v>
      </c>
      <c r="BM362">
        <v>0</v>
      </c>
      <c r="BN362">
        <v>12839.92</v>
      </c>
      <c r="BO362">
        <v>2054.38</v>
      </c>
      <c r="BP362">
        <v>513.59</v>
      </c>
      <c r="BQ362">
        <f t="shared" si="5"/>
        <v>14380.71</v>
      </c>
      <c r="BR362" t="s">
        <v>560</v>
      </c>
    </row>
    <row r="363" spans="1:70">
      <c r="A363" t="s">
        <v>1783</v>
      </c>
      <c r="B363" t="s">
        <v>1784</v>
      </c>
      <c r="C363" t="s">
        <v>71</v>
      </c>
      <c r="D363" t="s">
        <v>289</v>
      </c>
      <c r="E363" t="s">
        <v>73</v>
      </c>
      <c r="F363" t="s">
        <v>74</v>
      </c>
      <c r="G363">
        <v>241232</v>
      </c>
      <c r="H363" t="s">
        <v>74</v>
      </c>
      <c r="I363" t="s">
        <v>75</v>
      </c>
      <c r="J363" t="s">
        <v>74</v>
      </c>
      <c r="K363" t="s">
        <v>1781</v>
      </c>
      <c r="L363" t="s">
        <v>77</v>
      </c>
      <c r="M363" t="s">
        <v>78</v>
      </c>
      <c r="N363" t="s">
        <v>558</v>
      </c>
      <c r="O363" t="s">
        <v>1005</v>
      </c>
      <c r="P363" t="s">
        <v>1782</v>
      </c>
      <c r="T363">
        <v>4</v>
      </c>
      <c r="AF363" t="s">
        <v>1234</v>
      </c>
      <c r="AG363" t="s">
        <v>296</v>
      </c>
      <c r="AH363" t="s">
        <v>1234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145.84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9175.2800000000007</v>
      </c>
      <c r="BE363">
        <v>0</v>
      </c>
      <c r="BF363">
        <v>1832.32</v>
      </c>
      <c r="BG363">
        <v>0</v>
      </c>
      <c r="BH363">
        <v>0</v>
      </c>
      <c r="BI363">
        <v>1686.48</v>
      </c>
      <c r="BJ363">
        <v>0</v>
      </c>
      <c r="BK363">
        <v>0</v>
      </c>
      <c r="BL363">
        <v>0</v>
      </c>
      <c r="BM363">
        <v>0</v>
      </c>
      <c r="BN363">
        <v>12839.92</v>
      </c>
      <c r="BO363">
        <v>2054.38</v>
      </c>
      <c r="BP363">
        <v>513.59</v>
      </c>
      <c r="BQ363">
        <f t="shared" si="5"/>
        <v>14380.71</v>
      </c>
      <c r="BR363" t="s">
        <v>560</v>
      </c>
    </row>
    <row r="364" spans="1:70">
      <c r="A364" t="s">
        <v>1785</v>
      </c>
      <c r="B364" t="s">
        <v>1786</v>
      </c>
      <c r="C364" t="s">
        <v>71</v>
      </c>
      <c r="D364" t="s">
        <v>289</v>
      </c>
      <c r="E364" t="s">
        <v>73</v>
      </c>
      <c r="F364" t="s">
        <v>74</v>
      </c>
      <c r="G364">
        <v>241217</v>
      </c>
      <c r="H364" t="s">
        <v>74</v>
      </c>
      <c r="I364" t="s">
        <v>75</v>
      </c>
      <c r="J364" t="s">
        <v>74</v>
      </c>
      <c r="K364" t="s">
        <v>1787</v>
      </c>
      <c r="L364" t="s">
        <v>77</v>
      </c>
      <c r="M364" t="s">
        <v>78</v>
      </c>
      <c r="N364" t="s">
        <v>438</v>
      </c>
      <c r="O364" t="s">
        <v>1788</v>
      </c>
      <c r="P364" t="s">
        <v>1782</v>
      </c>
      <c r="X364">
        <v>5</v>
      </c>
      <c r="AF364" t="s">
        <v>333</v>
      </c>
      <c r="AG364" t="s">
        <v>296</v>
      </c>
      <c r="AH364" t="s">
        <v>333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0.75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77.25</v>
      </c>
      <c r="BE364">
        <v>0</v>
      </c>
      <c r="BF364">
        <v>200</v>
      </c>
      <c r="BG364">
        <v>0</v>
      </c>
      <c r="BH364">
        <v>0</v>
      </c>
      <c r="BI364">
        <v>40</v>
      </c>
      <c r="BJ364">
        <v>0</v>
      </c>
      <c r="BK364">
        <v>0</v>
      </c>
      <c r="BL364">
        <v>0</v>
      </c>
      <c r="BM364">
        <v>0</v>
      </c>
      <c r="BN364">
        <v>318</v>
      </c>
      <c r="BO364">
        <v>50.88</v>
      </c>
      <c r="BP364">
        <v>12.72</v>
      </c>
      <c r="BQ364">
        <f t="shared" si="5"/>
        <v>356.15999999999997</v>
      </c>
      <c r="BR364" t="s">
        <v>440</v>
      </c>
    </row>
    <row r="365" spans="1:70">
      <c r="A365" t="s">
        <v>1789</v>
      </c>
      <c r="B365" t="s">
        <v>1790</v>
      </c>
      <c r="C365" t="s">
        <v>71</v>
      </c>
      <c r="D365" t="s">
        <v>289</v>
      </c>
      <c r="E365" t="s">
        <v>73</v>
      </c>
      <c r="F365" t="s">
        <v>74</v>
      </c>
      <c r="G365">
        <v>241221</v>
      </c>
      <c r="H365" t="s">
        <v>74</v>
      </c>
      <c r="I365" t="s">
        <v>75</v>
      </c>
      <c r="J365" t="s">
        <v>74</v>
      </c>
      <c r="K365" t="s">
        <v>1791</v>
      </c>
      <c r="L365" t="s">
        <v>77</v>
      </c>
      <c r="M365" t="s">
        <v>78</v>
      </c>
      <c r="N365" t="s">
        <v>343</v>
      </c>
      <c r="O365" t="s">
        <v>1792</v>
      </c>
      <c r="P365" t="s">
        <v>1782</v>
      </c>
      <c r="X365">
        <v>10</v>
      </c>
      <c r="AF365" t="s">
        <v>372</v>
      </c>
      <c r="AG365" t="s">
        <v>296</v>
      </c>
      <c r="AH365" t="s">
        <v>372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1.5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154.5</v>
      </c>
      <c r="BE365">
        <v>0</v>
      </c>
      <c r="BF365">
        <v>400</v>
      </c>
      <c r="BG365">
        <v>0</v>
      </c>
      <c r="BH365">
        <v>0</v>
      </c>
      <c r="BI365">
        <v>80</v>
      </c>
      <c r="BJ365">
        <v>0</v>
      </c>
      <c r="BK365">
        <v>0</v>
      </c>
      <c r="BL365">
        <v>0</v>
      </c>
      <c r="BM365">
        <v>0</v>
      </c>
      <c r="BN365">
        <v>636</v>
      </c>
      <c r="BO365">
        <v>101.76</v>
      </c>
      <c r="BP365">
        <v>25.44</v>
      </c>
      <c r="BQ365">
        <f t="shared" si="5"/>
        <v>712.31999999999994</v>
      </c>
      <c r="BR365" t="s">
        <v>343</v>
      </c>
    </row>
    <row r="366" spans="1:70">
      <c r="A366" t="s">
        <v>1793</v>
      </c>
      <c r="B366" t="s">
        <v>1794</v>
      </c>
      <c r="C366" t="s">
        <v>71</v>
      </c>
      <c r="D366" t="s">
        <v>289</v>
      </c>
      <c r="E366" t="s">
        <v>73</v>
      </c>
      <c r="F366" t="s">
        <v>74</v>
      </c>
      <c r="G366">
        <v>241240</v>
      </c>
      <c r="H366" t="s">
        <v>74</v>
      </c>
      <c r="I366" t="s">
        <v>75</v>
      </c>
      <c r="J366" t="s">
        <v>74</v>
      </c>
      <c r="K366" t="s">
        <v>1795</v>
      </c>
      <c r="L366" t="s">
        <v>77</v>
      </c>
      <c r="M366" t="s">
        <v>78</v>
      </c>
      <c r="N366" t="s">
        <v>324</v>
      </c>
      <c r="O366" t="s">
        <v>1796</v>
      </c>
      <c r="P366" t="s">
        <v>1782</v>
      </c>
      <c r="Z366">
        <v>2</v>
      </c>
      <c r="AF366" t="s">
        <v>339</v>
      </c>
      <c r="AG366" t="s">
        <v>296</v>
      </c>
      <c r="AH366" t="s">
        <v>339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0.3</v>
      </c>
      <c r="AT366">
        <v>0</v>
      </c>
      <c r="AU366">
        <v>0</v>
      </c>
      <c r="AV366">
        <v>52.58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375.4</v>
      </c>
      <c r="BE366">
        <v>0</v>
      </c>
      <c r="BF366">
        <v>80</v>
      </c>
      <c r="BG366">
        <v>0</v>
      </c>
      <c r="BH366">
        <v>0</v>
      </c>
      <c r="BI366">
        <v>16</v>
      </c>
      <c r="BJ366">
        <v>0</v>
      </c>
      <c r="BK366">
        <v>0</v>
      </c>
      <c r="BL366">
        <v>0</v>
      </c>
      <c r="BM366">
        <v>0</v>
      </c>
      <c r="BN366">
        <v>524.28</v>
      </c>
      <c r="BO366">
        <v>83.88</v>
      </c>
      <c r="BP366">
        <v>18.87</v>
      </c>
      <c r="BQ366">
        <f t="shared" si="5"/>
        <v>589.29</v>
      </c>
      <c r="BR366" t="s">
        <v>324</v>
      </c>
    </row>
    <row r="367" spans="1:70">
      <c r="A367" t="s">
        <v>1797</v>
      </c>
      <c r="B367" t="s">
        <v>1798</v>
      </c>
      <c r="C367" t="s">
        <v>71</v>
      </c>
      <c r="D367" t="s">
        <v>289</v>
      </c>
      <c r="E367" t="s">
        <v>73</v>
      </c>
      <c r="F367" t="s">
        <v>74</v>
      </c>
      <c r="G367">
        <v>241241</v>
      </c>
      <c r="H367" t="s">
        <v>74</v>
      </c>
      <c r="I367" t="s">
        <v>75</v>
      </c>
      <c r="J367" t="s">
        <v>74</v>
      </c>
      <c r="K367" t="s">
        <v>1799</v>
      </c>
      <c r="L367" t="s">
        <v>77</v>
      </c>
      <c r="M367" t="s">
        <v>78</v>
      </c>
      <c r="N367" t="s">
        <v>312</v>
      </c>
      <c r="O367" t="s">
        <v>1800</v>
      </c>
      <c r="P367" t="s">
        <v>1782</v>
      </c>
      <c r="V367">
        <v>1</v>
      </c>
      <c r="AF367" t="s">
        <v>295</v>
      </c>
      <c r="AG367" t="s">
        <v>296</v>
      </c>
      <c r="AH367" t="s">
        <v>295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0.15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375.85</v>
      </c>
      <c r="BE367">
        <v>0</v>
      </c>
      <c r="BF367">
        <v>40</v>
      </c>
      <c r="BG367">
        <v>0</v>
      </c>
      <c r="BH367">
        <v>0</v>
      </c>
      <c r="BI367">
        <v>8</v>
      </c>
      <c r="BJ367">
        <v>0</v>
      </c>
      <c r="BK367">
        <v>0</v>
      </c>
      <c r="BL367">
        <v>0</v>
      </c>
      <c r="BM367">
        <v>0</v>
      </c>
      <c r="BN367">
        <v>424</v>
      </c>
      <c r="BO367">
        <v>67.84</v>
      </c>
      <c r="BP367">
        <v>16.96</v>
      </c>
      <c r="BQ367">
        <f t="shared" si="5"/>
        <v>474.88000000000005</v>
      </c>
      <c r="BR367" t="s">
        <v>312</v>
      </c>
    </row>
    <row r="368" spans="1:70">
      <c r="A368" t="s">
        <v>1801</v>
      </c>
      <c r="B368" t="s">
        <v>1802</v>
      </c>
      <c r="C368" t="s">
        <v>71</v>
      </c>
      <c r="D368" t="s">
        <v>289</v>
      </c>
      <c r="E368" t="s">
        <v>73</v>
      </c>
      <c r="F368" t="s">
        <v>74</v>
      </c>
      <c r="G368">
        <v>241243</v>
      </c>
      <c r="H368" t="s">
        <v>74</v>
      </c>
      <c r="I368" t="s">
        <v>75</v>
      </c>
      <c r="J368" t="s">
        <v>74</v>
      </c>
      <c r="K368" t="s">
        <v>1803</v>
      </c>
      <c r="L368" t="s">
        <v>77</v>
      </c>
      <c r="M368" t="s">
        <v>78</v>
      </c>
      <c r="N368" t="s">
        <v>620</v>
      </c>
      <c r="O368" t="s">
        <v>692</v>
      </c>
      <c r="P368" t="s">
        <v>1782</v>
      </c>
      <c r="V368">
        <v>1</v>
      </c>
      <c r="AF368" t="s">
        <v>295</v>
      </c>
      <c r="AG368" t="s">
        <v>296</v>
      </c>
      <c r="AH368" t="s">
        <v>295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0.15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375.85</v>
      </c>
      <c r="BE368">
        <v>0</v>
      </c>
      <c r="BF368">
        <v>40</v>
      </c>
      <c r="BG368">
        <v>0</v>
      </c>
      <c r="BH368">
        <v>0</v>
      </c>
      <c r="BI368">
        <v>8</v>
      </c>
      <c r="BJ368">
        <v>0</v>
      </c>
      <c r="BK368">
        <v>0</v>
      </c>
      <c r="BL368">
        <v>0</v>
      </c>
      <c r="BM368">
        <v>0</v>
      </c>
      <c r="BN368">
        <v>424</v>
      </c>
      <c r="BO368">
        <v>67.84</v>
      </c>
      <c r="BP368">
        <v>16.96</v>
      </c>
      <c r="BQ368">
        <f t="shared" si="5"/>
        <v>474.88000000000005</v>
      </c>
      <c r="BR368" t="s">
        <v>83</v>
      </c>
    </row>
    <row r="369" spans="1:70">
      <c r="A369" t="s">
        <v>1804</v>
      </c>
      <c r="B369" t="s">
        <v>1805</v>
      </c>
      <c r="C369" t="s">
        <v>71</v>
      </c>
      <c r="D369" t="s">
        <v>289</v>
      </c>
      <c r="E369" t="s">
        <v>73</v>
      </c>
      <c r="F369" t="s">
        <v>74</v>
      </c>
      <c r="G369">
        <v>241207</v>
      </c>
      <c r="H369" t="s">
        <v>74</v>
      </c>
      <c r="I369" t="s">
        <v>75</v>
      </c>
      <c r="J369" t="s">
        <v>74</v>
      </c>
      <c r="K369" t="s">
        <v>1806</v>
      </c>
      <c r="L369" t="s">
        <v>77</v>
      </c>
      <c r="M369" t="s">
        <v>78</v>
      </c>
      <c r="N369" t="s">
        <v>964</v>
      </c>
      <c r="O369" t="s">
        <v>1050</v>
      </c>
      <c r="P369" t="s">
        <v>1782</v>
      </c>
      <c r="V369">
        <v>1</v>
      </c>
      <c r="AF369" t="s">
        <v>295</v>
      </c>
      <c r="AG369" t="s">
        <v>296</v>
      </c>
      <c r="AH369" t="s">
        <v>295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0.15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423.55</v>
      </c>
      <c r="BE369">
        <v>0</v>
      </c>
      <c r="BF369">
        <v>40</v>
      </c>
      <c r="BG369">
        <v>0</v>
      </c>
      <c r="BH369">
        <v>0</v>
      </c>
      <c r="BI369">
        <v>8</v>
      </c>
      <c r="BJ369">
        <v>0</v>
      </c>
      <c r="BK369">
        <v>0</v>
      </c>
      <c r="BL369">
        <v>0</v>
      </c>
      <c r="BM369">
        <v>0</v>
      </c>
      <c r="BN369">
        <v>471.7</v>
      </c>
      <c r="BO369">
        <v>75.47</v>
      </c>
      <c r="BP369">
        <v>18.87</v>
      </c>
      <c r="BQ369">
        <f t="shared" si="5"/>
        <v>528.29999999999995</v>
      </c>
      <c r="BR369" t="s">
        <v>964</v>
      </c>
    </row>
    <row r="370" spans="1:70">
      <c r="A370" t="s">
        <v>1807</v>
      </c>
      <c r="B370" t="s">
        <v>1808</v>
      </c>
      <c r="C370" t="s">
        <v>71</v>
      </c>
      <c r="D370" t="s">
        <v>289</v>
      </c>
      <c r="E370" t="s">
        <v>73</v>
      </c>
      <c r="F370" t="s">
        <v>74</v>
      </c>
      <c r="G370">
        <v>241253</v>
      </c>
      <c r="H370" t="s">
        <v>74</v>
      </c>
      <c r="I370" t="s">
        <v>1809</v>
      </c>
      <c r="J370" t="s">
        <v>74</v>
      </c>
      <c r="K370" t="s">
        <v>1810</v>
      </c>
      <c r="L370" t="s">
        <v>77</v>
      </c>
      <c r="M370" t="s">
        <v>78</v>
      </c>
      <c r="N370" t="s">
        <v>499</v>
      </c>
      <c r="O370" t="s">
        <v>1811</v>
      </c>
      <c r="P370" t="s">
        <v>1782</v>
      </c>
      <c r="X370">
        <v>8</v>
      </c>
      <c r="AF370" t="s">
        <v>1006</v>
      </c>
      <c r="AG370" t="s">
        <v>296</v>
      </c>
      <c r="AH370" t="s">
        <v>1006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1.2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369.52</v>
      </c>
      <c r="BE370">
        <v>0</v>
      </c>
      <c r="BF370">
        <v>320</v>
      </c>
      <c r="BG370">
        <v>0</v>
      </c>
      <c r="BH370">
        <v>0</v>
      </c>
      <c r="BI370">
        <v>64</v>
      </c>
      <c r="BJ370">
        <v>0</v>
      </c>
      <c r="BK370">
        <v>0</v>
      </c>
      <c r="BL370">
        <v>0</v>
      </c>
      <c r="BM370">
        <v>0</v>
      </c>
      <c r="BN370">
        <v>754.72</v>
      </c>
      <c r="BO370">
        <v>120.75</v>
      </c>
      <c r="BP370">
        <v>30.19</v>
      </c>
      <c r="BQ370">
        <f t="shared" si="5"/>
        <v>845.28</v>
      </c>
      <c r="BR370" t="s">
        <v>501</v>
      </c>
    </row>
    <row r="371" spans="1:70">
      <c r="A371" t="s">
        <v>1812</v>
      </c>
      <c r="B371" t="s">
        <v>1813</v>
      </c>
      <c r="C371" t="s">
        <v>71</v>
      </c>
      <c r="D371" t="s">
        <v>289</v>
      </c>
      <c r="E371" t="s">
        <v>73</v>
      </c>
      <c r="F371" t="s">
        <v>74</v>
      </c>
      <c r="G371">
        <v>241251</v>
      </c>
      <c r="H371" t="s">
        <v>74</v>
      </c>
      <c r="I371" t="s">
        <v>75</v>
      </c>
      <c r="J371" t="s">
        <v>74</v>
      </c>
      <c r="K371" t="s">
        <v>1814</v>
      </c>
      <c r="L371" t="s">
        <v>77</v>
      </c>
      <c r="M371" t="s">
        <v>78</v>
      </c>
      <c r="N371" t="s">
        <v>501</v>
      </c>
      <c r="O371" t="s">
        <v>1815</v>
      </c>
      <c r="P371" t="s">
        <v>1782</v>
      </c>
      <c r="X371">
        <v>4</v>
      </c>
      <c r="AF371" t="s">
        <v>326</v>
      </c>
      <c r="AG371" t="s">
        <v>296</v>
      </c>
      <c r="AH371" t="s">
        <v>326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0.6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184.76</v>
      </c>
      <c r="BE371">
        <v>0</v>
      </c>
      <c r="BF371">
        <v>160</v>
      </c>
      <c r="BG371">
        <v>0</v>
      </c>
      <c r="BH371">
        <v>0</v>
      </c>
      <c r="BI371">
        <v>32</v>
      </c>
      <c r="BJ371">
        <v>0</v>
      </c>
      <c r="BK371">
        <v>0</v>
      </c>
      <c r="BL371">
        <v>0</v>
      </c>
      <c r="BM371">
        <v>0</v>
      </c>
      <c r="BN371">
        <v>377.36</v>
      </c>
      <c r="BO371">
        <v>60.38</v>
      </c>
      <c r="BP371">
        <v>15.09</v>
      </c>
      <c r="BQ371">
        <f t="shared" si="5"/>
        <v>422.65000000000003</v>
      </c>
      <c r="BR371" t="s">
        <v>501</v>
      </c>
    </row>
    <row r="372" spans="1:70">
      <c r="A372" t="s">
        <v>1816</v>
      </c>
      <c r="B372" t="s">
        <v>1817</v>
      </c>
      <c r="C372" t="s">
        <v>71</v>
      </c>
      <c r="D372" t="s">
        <v>289</v>
      </c>
      <c r="E372" t="s">
        <v>73</v>
      </c>
      <c r="F372" t="s">
        <v>74</v>
      </c>
      <c r="G372" t="s">
        <v>1818</v>
      </c>
      <c r="H372" t="s">
        <v>74</v>
      </c>
      <c r="I372" t="s">
        <v>75</v>
      </c>
      <c r="J372" t="s">
        <v>74</v>
      </c>
      <c r="K372" t="s">
        <v>1819</v>
      </c>
      <c r="L372" t="s">
        <v>77</v>
      </c>
      <c r="M372" t="s">
        <v>78</v>
      </c>
      <c r="N372" t="s">
        <v>175</v>
      </c>
      <c r="O372" t="s">
        <v>1641</v>
      </c>
      <c r="P372" t="s">
        <v>1820</v>
      </c>
      <c r="T372">
        <v>2</v>
      </c>
      <c r="AF372" t="s">
        <v>808</v>
      </c>
      <c r="AG372" t="s">
        <v>296</v>
      </c>
      <c r="AH372" t="s">
        <v>808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72.92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4587.6400000000003</v>
      </c>
      <c r="BE372">
        <v>0</v>
      </c>
      <c r="BF372">
        <v>916.16</v>
      </c>
      <c r="BG372">
        <v>0</v>
      </c>
      <c r="BH372">
        <v>0</v>
      </c>
      <c r="BI372">
        <v>843.24</v>
      </c>
      <c r="BJ372">
        <v>0</v>
      </c>
      <c r="BK372">
        <v>0</v>
      </c>
      <c r="BL372">
        <v>0</v>
      </c>
      <c r="BM372">
        <v>0</v>
      </c>
      <c r="BN372">
        <v>6419.96</v>
      </c>
      <c r="BO372">
        <v>1027.2</v>
      </c>
      <c r="BP372">
        <v>256.81</v>
      </c>
      <c r="BQ372">
        <f t="shared" si="5"/>
        <v>7190.3499999999995</v>
      </c>
      <c r="BR372" t="s">
        <v>175</v>
      </c>
    </row>
    <row r="373" spans="1:70">
      <c r="A373" t="s">
        <v>1821</v>
      </c>
      <c r="B373" t="s">
        <v>1822</v>
      </c>
      <c r="C373" t="s">
        <v>71</v>
      </c>
      <c r="D373" t="s">
        <v>289</v>
      </c>
      <c r="E373" t="s">
        <v>73</v>
      </c>
      <c r="F373" t="s">
        <v>74</v>
      </c>
      <c r="G373" t="s">
        <v>1823</v>
      </c>
      <c r="H373" t="s">
        <v>74</v>
      </c>
      <c r="I373" t="s">
        <v>75</v>
      </c>
      <c r="J373" t="s">
        <v>74</v>
      </c>
      <c r="K373" t="s">
        <v>1824</v>
      </c>
      <c r="L373" t="s">
        <v>77</v>
      </c>
      <c r="M373" t="s">
        <v>78</v>
      </c>
      <c r="N373" t="s">
        <v>161</v>
      </c>
      <c r="O373" t="s">
        <v>1825</v>
      </c>
      <c r="P373" t="s">
        <v>1820</v>
      </c>
      <c r="T373">
        <v>2</v>
      </c>
      <c r="AF373" t="s">
        <v>808</v>
      </c>
      <c r="AG373" t="s">
        <v>296</v>
      </c>
      <c r="AH373" t="s">
        <v>808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72.92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2142.2600000000002</v>
      </c>
      <c r="BE373">
        <v>0</v>
      </c>
      <c r="BF373">
        <v>916.16</v>
      </c>
      <c r="BG373">
        <v>0</v>
      </c>
      <c r="BH373">
        <v>0</v>
      </c>
      <c r="BI373">
        <v>843.24</v>
      </c>
      <c r="BJ373">
        <v>0</v>
      </c>
      <c r="BK373">
        <v>0</v>
      </c>
      <c r="BL373">
        <v>0</v>
      </c>
      <c r="BM373">
        <v>0</v>
      </c>
      <c r="BN373">
        <v>3974.58</v>
      </c>
      <c r="BO373">
        <v>635.94000000000005</v>
      </c>
      <c r="BP373">
        <v>158.99</v>
      </c>
      <c r="BQ373">
        <f t="shared" si="5"/>
        <v>4451.5300000000007</v>
      </c>
      <c r="BR373" t="s">
        <v>83</v>
      </c>
    </row>
    <row r="374" spans="1:70">
      <c r="A374" t="s">
        <v>1826</v>
      </c>
      <c r="B374" t="s">
        <v>1827</v>
      </c>
      <c r="C374" t="s">
        <v>71</v>
      </c>
      <c r="D374" t="s">
        <v>289</v>
      </c>
      <c r="E374" t="s">
        <v>73</v>
      </c>
      <c r="F374" t="s">
        <v>74</v>
      </c>
      <c r="G374">
        <v>219195</v>
      </c>
      <c r="H374" t="s">
        <v>74</v>
      </c>
      <c r="I374" t="s">
        <v>75</v>
      </c>
      <c r="J374" t="s">
        <v>74</v>
      </c>
      <c r="K374" t="s">
        <v>1828</v>
      </c>
      <c r="L374" t="s">
        <v>77</v>
      </c>
      <c r="M374" t="s">
        <v>78</v>
      </c>
      <c r="N374" t="s">
        <v>801</v>
      </c>
      <c r="O374" t="s">
        <v>1829</v>
      </c>
      <c r="P374" t="s">
        <v>1820</v>
      </c>
      <c r="U374">
        <v>2</v>
      </c>
      <c r="AF374" t="s">
        <v>808</v>
      </c>
      <c r="AG374" t="s">
        <v>296</v>
      </c>
      <c r="AH374" t="s">
        <v>808</v>
      </c>
      <c r="AJ374">
        <v>0</v>
      </c>
      <c r="AK374">
        <v>0</v>
      </c>
      <c r="AL374">
        <v>0</v>
      </c>
      <c r="AM374">
        <v>0</v>
      </c>
      <c r="AN374">
        <v>916.16</v>
      </c>
      <c r="AO374">
        <v>0</v>
      </c>
      <c r="AP374">
        <v>0</v>
      </c>
      <c r="AQ374">
        <v>0</v>
      </c>
      <c r="AR374">
        <v>0</v>
      </c>
      <c r="AS374">
        <v>72.92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2142.2600000000002</v>
      </c>
      <c r="BE374">
        <v>0</v>
      </c>
      <c r="BF374">
        <v>0</v>
      </c>
      <c r="BG374">
        <v>0</v>
      </c>
      <c r="BH374">
        <v>0</v>
      </c>
      <c r="BI374">
        <v>843.24</v>
      </c>
      <c r="BJ374">
        <v>0</v>
      </c>
      <c r="BK374">
        <v>0</v>
      </c>
      <c r="BL374">
        <v>0</v>
      </c>
      <c r="BM374">
        <v>0</v>
      </c>
      <c r="BN374">
        <v>3974.58</v>
      </c>
      <c r="BO374">
        <v>635.94000000000005</v>
      </c>
      <c r="BP374">
        <v>122.34</v>
      </c>
      <c r="BQ374">
        <f t="shared" si="5"/>
        <v>4488.18</v>
      </c>
      <c r="BR374" t="s">
        <v>801</v>
      </c>
    </row>
    <row r="375" spans="1:70">
      <c r="A375" t="s">
        <v>1830</v>
      </c>
      <c r="B375" t="s">
        <v>1831</v>
      </c>
      <c r="C375" t="s">
        <v>71</v>
      </c>
      <c r="D375" t="s">
        <v>289</v>
      </c>
      <c r="E375" t="s">
        <v>73</v>
      </c>
      <c r="F375" t="s">
        <v>74</v>
      </c>
      <c r="G375">
        <v>219203</v>
      </c>
      <c r="H375" t="s">
        <v>74</v>
      </c>
      <c r="I375" t="s">
        <v>75</v>
      </c>
      <c r="J375" t="s">
        <v>74</v>
      </c>
      <c r="K375" t="s">
        <v>1832</v>
      </c>
      <c r="L375" t="s">
        <v>77</v>
      </c>
      <c r="M375" t="s">
        <v>78</v>
      </c>
      <c r="N375" t="s">
        <v>1064</v>
      </c>
      <c r="O375" t="s">
        <v>1833</v>
      </c>
      <c r="P375" t="s">
        <v>1820</v>
      </c>
      <c r="X375">
        <v>25</v>
      </c>
      <c r="AF375" t="s">
        <v>717</v>
      </c>
      <c r="AG375" t="s">
        <v>296</v>
      </c>
      <c r="AH375" t="s">
        <v>717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3.75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386.25</v>
      </c>
      <c r="BE375">
        <v>0</v>
      </c>
      <c r="BF375">
        <v>1000</v>
      </c>
      <c r="BG375">
        <v>0</v>
      </c>
      <c r="BH375">
        <v>0</v>
      </c>
      <c r="BI375">
        <v>200</v>
      </c>
      <c r="BJ375">
        <v>0</v>
      </c>
      <c r="BK375">
        <v>0</v>
      </c>
      <c r="BL375">
        <v>0</v>
      </c>
      <c r="BM375">
        <v>0</v>
      </c>
      <c r="BN375">
        <v>1590</v>
      </c>
      <c r="BO375">
        <v>254.4</v>
      </c>
      <c r="BP375">
        <v>63.6</v>
      </c>
      <c r="BQ375">
        <f t="shared" si="5"/>
        <v>1780.8000000000002</v>
      </c>
      <c r="BR375" t="s">
        <v>83</v>
      </c>
    </row>
    <row r="376" spans="1:70">
      <c r="A376" t="s">
        <v>1834</v>
      </c>
      <c r="B376" t="s">
        <v>1835</v>
      </c>
      <c r="C376" t="s">
        <v>71</v>
      </c>
      <c r="D376" t="s">
        <v>289</v>
      </c>
      <c r="E376" t="s">
        <v>73</v>
      </c>
      <c r="F376" t="s">
        <v>74</v>
      </c>
      <c r="G376">
        <v>241361</v>
      </c>
      <c r="H376" t="s">
        <v>74</v>
      </c>
      <c r="I376" t="s">
        <v>75</v>
      </c>
      <c r="J376" t="s">
        <v>74</v>
      </c>
      <c r="K376" t="s">
        <v>1836</v>
      </c>
      <c r="L376" t="s">
        <v>77</v>
      </c>
      <c r="M376" t="s">
        <v>78</v>
      </c>
      <c r="N376" t="s">
        <v>406</v>
      </c>
      <c r="O376" t="s">
        <v>1326</v>
      </c>
      <c r="P376" t="s">
        <v>1820</v>
      </c>
      <c r="Z376">
        <v>2</v>
      </c>
      <c r="AF376" t="s">
        <v>339</v>
      </c>
      <c r="AG376" t="s">
        <v>296</v>
      </c>
      <c r="AH376" t="s">
        <v>339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0.3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327.7</v>
      </c>
      <c r="BE376">
        <v>0</v>
      </c>
      <c r="BF376">
        <v>80</v>
      </c>
      <c r="BG376">
        <v>0</v>
      </c>
      <c r="BH376">
        <v>0</v>
      </c>
      <c r="BI376">
        <v>16</v>
      </c>
      <c r="BJ376">
        <v>0</v>
      </c>
      <c r="BK376">
        <v>0</v>
      </c>
      <c r="BL376">
        <v>0</v>
      </c>
      <c r="BM376">
        <v>0</v>
      </c>
      <c r="BN376">
        <v>424</v>
      </c>
      <c r="BO376">
        <v>67.84</v>
      </c>
      <c r="BP376">
        <v>16.96</v>
      </c>
      <c r="BQ376">
        <f t="shared" si="5"/>
        <v>474.88000000000005</v>
      </c>
      <c r="BR376" t="s">
        <v>406</v>
      </c>
    </row>
    <row r="377" spans="1:70">
      <c r="A377" t="s">
        <v>1837</v>
      </c>
      <c r="B377" t="s">
        <v>1838</v>
      </c>
      <c r="C377" t="s">
        <v>71</v>
      </c>
      <c r="D377" t="s">
        <v>289</v>
      </c>
      <c r="E377" t="s">
        <v>73</v>
      </c>
      <c r="F377" t="s">
        <v>74</v>
      </c>
      <c r="G377">
        <v>241360</v>
      </c>
      <c r="H377" t="s">
        <v>74</v>
      </c>
      <c r="I377" t="s">
        <v>75</v>
      </c>
      <c r="J377" t="s">
        <v>74</v>
      </c>
      <c r="K377" t="s">
        <v>1839</v>
      </c>
      <c r="L377" t="s">
        <v>77</v>
      </c>
      <c r="M377" t="s">
        <v>78</v>
      </c>
      <c r="N377" t="s">
        <v>421</v>
      </c>
      <c r="O377" t="s">
        <v>1330</v>
      </c>
      <c r="P377" t="s">
        <v>1820</v>
      </c>
      <c r="AD377">
        <v>4</v>
      </c>
      <c r="AF377" t="s">
        <v>326</v>
      </c>
      <c r="AG377" t="s">
        <v>296</v>
      </c>
      <c r="AH377" t="s">
        <v>326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0.6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279.12</v>
      </c>
      <c r="BE377">
        <v>0</v>
      </c>
      <c r="BF377">
        <v>160</v>
      </c>
      <c r="BG377">
        <v>0</v>
      </c>
      <c r="BH377">
        <v>0</v>
      </c>
      <c r="BI377">
        <v>32</v>
      </c>
      <c r="BJ377">
        <v>0</v>
      </c>
      <c r="BK377">
        <v>0</v>
      </c>
      <c r="BL377">
        <v>0</v>
      </c>
      <c r="BM377">
        <v>0</v>
      </c>
      <c r="BN377">
        <v>471.72</v>
      </c>
      <c r="BO377">
        <v>75.48</v>
      </c>
      <c r="BP377">
        <v>18.86</v>
      </c>
      <c r="BQ377">
        <f t="shared" si="5"/>
        <v>528.34</v>
      </c>
      <c r="BR377" t="s">
        <v>423</v>
      </c>
    </row>
    <row r="378" spans="1:70">
      <c r="A378" t="s">
        <v>1840</v>
      </c>
      <c r="B378" t="s">
        <v>1841</v>
      </c>
      <c r="C378" t="s">
        <v>71</v>
      </c>
      <c r="D378" t="s">
        <v>289</v>
      </c>
      <c r="E378" t="s">
        <v>73</v>
      </c>
      <c r="F378" t="s">
        <v>74</v>
      </c>
      <c r="G378">
        <v>241358</v>
      </c>
      <c r="H378" t="s">
        <v>74</v>
      </c>
      <c r="I378" t="s">
        <v>75</v>
      </c>
      <c r="J378" t="s">
        <v>74</v>
      </c>
      <c r="K378" t="s">
        <v>1842</v>
      </c>
      <c r="L378" t="s">
        <v>77</v>
      </c>
      <c r="M378" t="s">
        <v>78</v>
      </c>
      <c r="N378" t="s">
        <v>674</v>
      </c>
      <c r="O378" t="s">
        <v>1213</v>
      </c>
      <c r="P378" t="s">
        <v>1820</v>
      </c>
      <c r="AD378">
        <v>4</v>
      </c>
      <c r="AF378" t="s">
        <v>326</v>
      </c>
      <c r="AG378" t="s">
        <v>296</v>
      </c>
      <c r="AH378" t="s">
        <v>326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0.6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231.4</v>
      </c>
      <c r="BE378">
        <v>0</v>
      </c>
      <c r="BF378">
        <v>160</v>
      </c>
      <c r="BG378">
        <v>0</v>
      </c>
      <c r="BH378">
        <v>0</v>
      </c>
      <c r="BI378">
        <v>32</v>
      </c>
      <c r="BJ378">
        <v>0</v>
      </c>
      <c r="BK378">
        <v>0</v>
      </c>
      <c r="BL378">
        <v>0</v>
      </c>
      <c r="BM378">
        <v>0</v>
      </c>
      <c r="BN378">
        <v>424</v>
      </c>
      <c r="BO378">
        <v>67.84</v>
      </c>
      <c r="BP378">
        <v>16.96</v>
      </c>
      <c r="BQ378">
        <f t="shared" si="5"/>
        <v>474.88000000000005</v>
      </c>
      <c r="BR378" t="s">
        <v>674</v>
      </c>
    </row>
    <row r="379" spans="1:70">
      <c r="A379" t="s">
        <v>1843</v>
      </c>
      <c r="B379" t="s">
        <v>1844</v>
      </c>
      <c r="C379" t="s">
        <v>71</v>
      </c>
      <c r="D379" t="s">
        <v>289</v>
      </c>
      <c r="E379" t="s">
        <v>73</v>
      </c>
      <c r="F379" t="s">
        <v>74</v>
      </c>
      <c r="G379">
        <v>241356</v>
      </c>
      <c r="H379" t="s">
        <v>74</v>
      </c>
      <c r="I379" t="s">
        <v>75</v>
      </c>
      <c r="J379" t="s">
        <v>74</v>
      </c>
      <c r="K379" t="s">
        <v>1845</v>
      </c>
      <c r="L379" t="s">
        <v>77</v>
      </c>
      <c r="M379" t="s">
        <v>78</v>
      </c>
      <c r="N379" t="s">
        <v>637</v>
      </c>
      <c r="O379" t="s">
        <v>1445</v>
      </c>
      <c r="P379" t="s">
        <v>1820</v>
      </c>
      <c r="Z379">
        <v>2</v>
      </c>
      <c r="AF379" t="s">
        <v>339</v>
      </c>
      <c r="AG379" t="s">
        <v>296</v>
      </c>
      <c r="AH379" t="s">
        <v>339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0.3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375.4</v>
      </c>
      <c r="BE379">
        <v>0</v>
      </c>
      <c r="BF379">
        <v>80</v>
      </c>
      <c r="BG379">
        <v>0</v>
      </c>
      <c r="BH379">
        <v>0</v>
      </c>
      <c r="BI379">
        <v>16</v>
      </c>
      <c r="BJ379">
        <v>0</v>
      </c>
      <c r="BK379">
        <v>0</v>
      </c>
      <c r="BL379">
        <v>0</v>
      </c>
      <c r="BM379">
        <v>0</v>
      </c>
      <c r="BN379">
        <v>471.7</v>
      </c>
      <c r="BO379">
        <v>75.47</v>
      </c>
      <c r="BP379">
        <v>18.87</v>
      </c>
      <c r="BQ379">
        <f t="shared" si="5"/>
        <v>528.29999999999995</v>
      </c>
      <c r="BR379" t="s">
        <v>639</v>
      </c>
    </row>
    <row r="380" spans="1:70">
      <c r="A380" t="s">
        <v>1846</v>
      </c>
      <c r="B380" t="s">
        <v>1847</v>
      </c>
      <c r="C380" t="s">
        <v>71</v>
      </c>
      <c r="D380" t="s">
        <v>289</v>
      </c>
      <c r="E380" t="s">
        <v>73</v>
      </c>
      <c r="F380" t="s">
        <v>74</v>
      </c>
      <c r="G380">
        <v>241354</v>
      </c>
      <c r="H380" t="s">
        <v>74</v>
      </c>
      <c r="I380" t="s">
        <v>75</v>
      </c>
      <c r="J380" t="s">
        <v>74</v>
      </c>
      <c r="K380" t="s">
        <v>1848</v>
      </c>
      <c r="L380" t="s">
        <v>77</v>
      </c>
      <c r="M380" t="s">
        <v>78</v>
      </c>
      <c r="N380" t="s">
        <v>499</v>
      </c>
      <c r="O380" t="s">
        <v>1415</v>
      </c>
      <c r="P380" t="s">
        <v>1820</v>
      </c>
      <c r="X380">
        <v>8</v>
      </c>
      <c r="AF380" t="s">
        <v>1006</v>
      </c>
      <c r="AG380" t="s">
        <v>296</v>
      </c>
      <c r="AH380" t="s">
        <v>1006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1.2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369.52</v>
      </c>
      <c r="BE380">
        <v>0</v>
      </c>
      <c r="BF380">
        <v>320</v>
      </c>
      <c r="BG380">
        <v>0</v>
      </c>
      <c r="BH380">
        <v>0</v>
      </c>
      <c r="BI380">
        <v>64</v>
      </c>
      <c r="BJ380">
        <v>0</v>
      </c>
      <c r="BK380">
        <v>0</v>
      </c>
      <c r="BL380">
        <v>0</v>
      </c>
      <c r="BM380">
        <v>0</v>
      </c>
      <c r="BN380">
        <v>754.72</v>
      </c>
      <c r="BO380">
        <v>120.75</v>
      </c>
      <c r="BP380">
        <v>30.19</v>
      </c>
      <c r="BQ380">
        <f t="shared" si="5"/>
        <v>845.28</v>
      </c>
      <c r="BR380" t="s">
        <v>501</v>
      </c>
    </row>
    <row r="381" spans="1:70">
      <c r="A381" t="s">
        <v>1849</v>
      </c>
      <c r="B381" t="s">
        <v>1850</v>
      </c>
      <c r="C381" t="s">
        <v>71</v>
      </c>
      <c r="D381" t="s">
        <v>289</v>
      </c>
      <c r="E381" t="s">
        <v>73</v>
      </c>
      <c r="F381" t="s">
        <v>74</v>
      </c>
      <c r="G381">
        <v>241353</v>
      </c>
      <c r="H381" t="s">
        <v>74</v>
      </c>
      <c r="I381" t="s">
        <v>75</v>
      </c>
      <c r="J381" t="s">
        <v>74</v>
      </c>
      <c r="K381" t="s">
        <v>1851</v>
      </c>
      <c r="L381" t="s">
        <v>77</v>
      </c>
      <c r="M381" t="s">
        <v>78</v>
      </c>
      <c r="N381" t="s">
        <v>337</v>
      </c>
      <c r="O381" t="s">
        <v>338</v>
      </c>
      <c r="P381" t="s">
        <v>1820</v>
      </c>
      <c r="AB381">
        <v>3</v>
      </c>
      <c r="AF381" t="s">
        <v>314</v>
      </c>
      <c r="AG381" t="s">
        <v>296</v>
      </c>
      <c r="AH381" t="s">
        <v>314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0.45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327.24</v>
      </c>
      <c r="BE381">
        <v>0</v>
      </c>
      <c r="BF381">
        <v>120</v>
      </c>
      <c r="BG381">
        <v>0</v>
      </c>
      <c r="BH381">
        <v>0</v>
      </c>
      <c r="BI381">
        <v>24</v>
      </c>
      <c r="BJ381">
        <v>0</v>
      </c>
      <c r="BK381">
        <v>0</v>
      </c>
      <c r="BL381">
        <v>0</v>
      </c>
      <c r="BM381">
        <v>0</v>
      </c>
      <c r="BN381">
        <v>471.69</v>
      </c>
      <c r="BO381">
        <v>75.47</v>
      </c>
      <c r="BP381">
        <v>18.87</v>
      </c>
      <c r="BQ381">
        <f t="shared" si="5"/>
        <v>528.29</v>
      </c>
      <c r="BR381" t="s">
        <v>337</v>
      </c>
    </row>
    <row r="382" spans="1:70">
      <c r="A382" t="s">
        <v>1852</v>
      </c>
      <c r="B382" t="s">
        <v>1853</v>
      </c>
      <c r="C382" t="s">
        <v>71</v>
      </c>
      <c r="D382" t="s">
        <v>289</v>
      </c>
      <c r="E382" t="s">
        <v>73</v>
      </c>
      <c r="F382" t="s">
        <v>74</v>
      </c>
      <c r="G382">
        <v>241351</v>
      </c>
      <c r="H382" t="s">
        <v>74</v>
      </c>
      <c r="I382" t="s">
        <v>75</v>
      </c>
      <c r="J382" t="s">
        <v>74</v>
      </c>
      <c r="K382" t="s">
        <v>1854</v>
      </c>
      <c r="L382" t="s">
        <v>77</v>
      </c>
      <c r="M382" t="s">
        <v>78</v>
      </c>
      <c r="N382" t="s">
        <v>1337</v>
      </c>
      <c r="O382" t="s">
        <v>1338</v>
      </c>
      <c r="P382" t="s">
        <v>1820</v>
      </c>
      <c r="AB382">
        <v>3</v>
      </c>
      <c r="AF382" t="s">
        <v>314</v>
      </c>
      <c r="AG382" t="s">
        <v>296</v>
      </c>
      <c r="AH382" t="s">
        <v>314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0.45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327.24</v>
      </c>
      <c r="BE382">
        <v>0</v>
      </c>
      <c r="BF382">
        <v>120</v>
      </c>
      <c r="BG382">
        <v>0</v>
      </c>
      <c r="BH382">
        <v>0</v>
      </c>
      <c r="BI382">
        <v>24</v>
      </c>
      <c r="BJ382">
        <v>0</v>
      </c>
      <c r="BK382">
        <v>0</v>
      </c>
      <c r="BL382">
        <v>0</v>
      </c>
      <c r="BM382">
        <v>0</v>
      </c>
      <c r="BN382">
        <v>471.69</v>
      </c>
      <c r="BO382">
        <v>75.47</v>
      </c>
      <c r="BP382">
        <v>18.87</v>
      </c>
      <c r="BQ382">
        <f t="shared" si="5"/>
        <v>528.29</v>
      </c>
      <c r="BR382" t="s">
        <v>1339</v>
      </c>
    </row>
    <row r="383" spans="1:70">
      <c r="A383" t="s">
        <v>1855</v>
      </c>
      <c r="B383" t="s">
        <v>1856</v>
      </c>
      <c r="C383" t="s">
        <v>71</v>
      </c>
      <c r="D383" t="s">
        <v>289</v>
      </c>
      <c r="E383" t="s">
        <v>73</v>
      </c>
      <c r="F383" t="s">
        <v>74</v>
      </c>
      <c r="G383">
        <v>241348</v>
      </c>
      <c r="H383" t="s">
        <v>74</v>
      </c>
      <c r="I383" t="s">
        <v>75</v>
      </c>
      <c r="J383" t="s">
        <v>74</v>
      </c>
      <c r="K383" t="s">
        <v>1857</v>
      </c>
      <c r="L383" t="s">
        <v>77</v>
      </c>
      <c r="M383" t="s">
        <v>78</v>
      </c>
      <c r="N383" t="s">
        <v>461</v>
      </c>
      <c r="O383" t="s">
        <v>1858</v>
      </c>
      <c r="P383" t="s">
        <v>1820</v>
      </c>
      <c r="X383">
        <v>10</v>
      </c>
      <c r="AF383" t="s">
        <v>372</v>
      </c>
      <c r="AG383" t="s">
        <v>296</v>
      </c>
      <c r="AH383" t="s">
        <v>372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1.5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154.5</v>
      </c>
      <c r="BE383">
        <v>0</v>
      </c>
      <c r="BF383">
        <v>400</v>
      </c>
      <c r="BG383">
        <v>0</v>
      </c>
      <c r="BH383">
        <v>0</v>
      </c>
      <c r="BI383">
        <v>80</v>
      </c>
      <c r="BJ383">
        <v>0</v>
      </c>
      <c r="BK383">
        <v>0</v>
      </c>
      <c r="BL383">
        <v>0</v>
      </c>
      <c r="BM383">
        <v>0</v>
      </c>
      <c r="BN383">
        <v>636</v>
      </c>
      <c r="BO383">
        <v>101.76</v>
      </c>
      <c r="BP383">
        <v>25.44</v>
      </c>
      <c r="BQ383">
        <f t="shared" si="5"/>
        <v>712.31999999999994</v>
      </c>
      <c r="BR383" t="s">
        <v>83</v>
      </c>
    </row>
    <row r="384" spans="1:70">
      <c r="A384" t="s">
        <v>1859</v>
      </c>
      <c r="B384" t="s">
        <v>1860</v>
      </c>
      <c r="C384" t="s">
        <v>71</v>
      </c>
      <c r="D384" t="s">
        <v>289</v>
      </c>
      <c r="E384" t="s">
        <v>73</v>
      </c>
      <c r="F384" t="s">
        <v>74</v>
      </c>
      <c r="G384">
        <v>241346</v>
      </c>
      <c r="H384" t="s">
        <v>74</v>
      </c>
      <c r="I384" t="s">
        <v>75</v>
      </c>
      <c r="J384" t="s">
        <v>74</v>
      </c>
      <c r="K384" t="s">
        <v>1861</v>
      </c>
      <c r="L384" t="s">
        <v>77</v>
      </c>
      <c r="M384" t="s">
        <v>78</v>
      </c>
      <c r="N384" t="s">
        <v>1064</v>
      </c>
      <c r="O384" t="s">
        <v>1862</v>
      </c>
      <c r="P384" t="s">
        <v>1820</v>
      </c>
      <c r="X384">
        <v>10</v>
      </c>
      <c r="AF384" t="s">
        <v>372</v>
      </c>
      <c r="AG384" t="s">
        <v>296</v>
      </c>
      <c r="AH384" t="s">
        <v>372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1.5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154.5</v>
      </c>
      <c r="BE384">
        <v>0</v>
      </c>
      <c r="BF384">
        <v>400</v>
      </c>
      <c r="BG384">
        <v>0</v>
      </c>
      <c r="BH384">
        <v>0</v>
      </c>
      <c r="BI384">
        <v>80</v>
      </c>
      <c r="BJ384">
        <v>0</v>
      </c>
      <c r="BK384">
        <v>0</v>
      </c>
      <c r="BL384">
        <v>0</v>
      </c>
      <c r="BM384">
        <v>0</v>
      </c>
      <c r="BN384">
        <v>636</v>
      </c>
      <c r="BO384">
        <v>101.76</v>
      </c>
      <c r="BP384">
        <v>25.44</v>
      </c>
      <c r="BQ384">
        <f t="shared" si="5"/>
        <v>712.31999999999994</v>
      </c>
      <c r="BR384" t="s">
        <v>83</v>
      </c>
    </row>
    <row r="385" spans="1:70">
      <c r="A385" t="s">
        <v>1863</v>
      </c>
      <c r="B385" t="s">
        <v>1864</v>
      </c>
      <c r="C385" t="s">
        <v>71</v>
      </c>
      <c r="D385" t="s">
        <v>289</v>
      </c>
      <c r="E385" t="s">
        <v>73</v>
      </c>
      <c r="F385" t="s">
        <v>74</v>
      </c>
      <c r="G385">
        <v>241345</v>
      </c>
      <c r="H385" t="s">
        <v>74</v>
      </c>
      <c r="I385" t="s">
        <v>75</v>
      </c>
      <c r="K385" t="s">
        <v>1865</v>
      </c>
      <c r="L385" t="s">
        <v>77</v>
      </c>
      <c r="M385" t="s">
        <v>78</v>
      </c>
      <c r="N385" t="s">
        <v>432</v>
      </c>
      <c r="O385" t="s">
        <v>1695</v>
      </c>
      <c r="P385" t="s">
        <v>1820</v>
      </c>
      <c r="AB385">
        <v>3</v>
      </c>
      <c r="AF385" t="s">
        <v>314</v>
      </c>
      <c r="AG385" t="s">
        <v>296</v>
      </c>
      <c r="AH385" t="s">
        <v>314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0.45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327.24</v>
      </c>
      <c r="BE385">
        <v>0</v>
      </c>
      <c r="BF385">
        <v>120</v>
      </c>
      <c r="BG385">
        <v>0</v>
      </c>
      <c r="BH385">
        <v>0</v>
      </c>
      <c r="BI385">
        <v>24</v>
      </c>
      <c r="BJ385">
        <v>0</v>
      </c>
      <c r="BK385">
        <v>0</v>
      </c>
      <c r="BL385">
        <v>0</v>
      </c>
      <c r="BM385">
        <v>0</v>
      </c>
      <c r="BN385">
        <v>471.69</v>
      </c>
      <c r="BO385">
        <v>75.47</v>
      </c>
      <c r="BP385">
        <v>18.87</v>
      </c>
      <c r="BQ385">
        <f t="shared" si="5"/>
        <v>528.29</v>
      </c>
      <c r="BR385" t="s">
        <v>432</v>
      </c>
    </row>
    <row r="386" spans="1:70">
      <c r="A386" t="s">
        <v>1866</v>
      </c>
      <c r="B386" t="s">
        <v>1867</v>
      </c>
      <c r="C386" t="s">
        <v>71</v>
      </c>
      <c r="D386" t="s">
        <v>289</v>
      </c>
      <c r="E386" t="s">
        <v>73</v>
      </c>
      <c r="F386" t="s">
        <v>74</v>
      </c>
      <c r="G386">
        <v>241344</v>
      </c>
      <c r="H386" t="s">
        <v>74</v>
      </c>
      <c r="I386" t="s">
        <v>75</v>
      </c>
      <c r="J386" t="s">
        <v>74</v>
      </c>
      <c r="K386" t="s">
        <v>1868</v>
      </c>
      <c r="L386" t="s">
        <v>77</v>
      </c>
      <c r="M386" t="s">
        <v>78</v>
      </c>
      <c r="N386" t="s">
        <v>343</v>
      </c>
      <c r="O386" t="s">
        <v>1538</v>
      </c>
      <c r="P386" t="s">
        <v>1820</v>
      </c>
      <c r="V386">
        <v>1</v>
      </c>
      <c r="AF386" t="s">
        <v>295</v>
      </c>
      <c r="AG386" t="s">
        <v>296</v>
      </c>
      <c r="AH386" t="s">
        <v>295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0.15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375.85</v>
      </c>
      <c r="BE386">
        <v>0</v>
      </c>
      <c r="BF386">
        <v>40</v>
      </c>
      <c r="BG386">
        <v>0</v>
      </c>
      <c r="BH386">
        <v>0</v>
      </c>
      <c r="BI386">
        <v>8</v>
      </c>
      <c r="BJ386">
        <v>0</v>
      </c>
      <c r="BK386">
        <v>0</v>
      </c>
      <c r="BL386">
        <v>0</v>
      </c>
      <c r="BM386">
        <v>0</v>
      </c>
      <c r="BN386">
        <v>424</v>
      </c>
      <c r="BO386">
        <v>67.84</v>
      </c>
      <c r="BP386">
        <v>16.96</v>
      </c>
      <c r="BQ386">
        <f t="shared" ref="BQ386:BQ449" si="6">(BN386+BO386-BP386)</f>
        <v>474.88000000000005</v>
      </c>
      <c r="BR386" t="s">
        <v>343</v>
      </c>
    </row>
    <row r="387" spans="1:70">
      <c r="A387" t="s">
        <v>1869</v>
      </c>
      <c r="B387" t="s">
        <v>1870</v>
      </c>
      <c r="C387" t="s">
        <v>71</v>
      </c>
      <c r="D387" t="s">
        <v>289</v>
      </c>
      <c r="E387" t="s">
        <v>73</v>
      </c>
      <c r="F387" t="s">
        <v>74</v>
      </c>
      <c r="G387">
        <v>241343</v>
      </c>
      <c r="H387" t="s">
        <v>74</v>
      </c>
      <c r="I387" t="s">
        <v>75</v>
      </c>
      <c r="J387" t="s">
        <v>74</v>
      </c>
      <c r="K387" t="s">
        <v>1871</v>
      </c>
      <c r="L387" t="s">
        <v>77</v>
      </c>
      <c r="M387" t="s">
        <v>78</v>
      </c>
      <c r="N387" t="s">
        <v>1872</v>
      </c>
      <c r="O387" t="s">
        <v>1873</v>
      </c>
      <c r="P387" t="s">
        <v>1820</v>
      </c>
      <c r="V387">
        <v>1</v>
      </c>
      <c r="AF387" t="s">
        <v>295</v>
      </c>
      <c r="AG387" t="s">
        <v>296</v>
      </c>
      <c r="AH387" t="s">
        <v>295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0.15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423.55</v>
      </c>
      <c r="BE387">
        <v>0</v>
      </c>
      <c r="BF387">
        <v>40</v>
      </c>
      <c r="BG387">
        <v>0</v>
      </c>
      <c r="BH387">
        <v>0</v>
      </c>
      <c r="BI387">
        <v>8</v>
      </c>
      <c r="BJ387">
        <v>0</v>
      </c>
      <c r="BK387">
        <v>0</v>
      </c>
      <c r="BL387">
        <v>0</v>
      </c>
      <c r="BM387">
        <v>0</v>
      </c>
      <c r="BN387">
        <v>471.7</v>
      </c>
      <c r="BO387">
        <v>75.47</v>
      </c>
      <c r="BP387">
        <v>18.87</v>
      </c>
      <c r="BQ387">
        <f t="shared" si="6"/>
        <v>528.29999999999995</v>
      </c>
      <c r="BR387" t="s">
        <v>332</v>
      </c>
    </row>
    <row r="388" spans="1:70">
      <c r="A388" t="s">
        <v>1874</v>
      </c>
      <c r="B388" t="s">
        <v>1875</v>
      </c>
      <c r="C388" t="s">
        <v>71</v>
      </c>
      <c r="D388" t="s">
        <v>289</v>
      </c>
      <c r="E388" t="s">
        <v>73</v>
      </c>
      <c r="F388" t="s">
        <v>74</v>
      </c>
      <c r="G388">
        <v>241342</v>
      </c>
      <c r="H388" t="s">
        <v>74</v>
      </c>
      <c r="I388" t="s">
        <v>75</v>
      </c>
      <c r="J388" t="s">
        <v>74</v>
      </c>
      <c r="K388" t="s">
        <v>1876</v>
      </c>
      <c r="L388" t="s">
        <v>77</v>
      </c>
      <c r="M388" t="s">
        <v>78</v>
      </c>
      <c r="N388" t="s">
        <v>406</v>
      </c>
      <c r="O388" t="s">
        <v>1877</v>
      </c>
      <c r="P388" t="s">
        <v>1820</v>
      </c>
      <c r="AD388">
        <v>4</v>
      </c>
      <c r="AF388" t="s">
        <v>326</v>
      </c>
      <c r="AG388" t="s">
        <v>296</v>
      </c>
      <c r="AH388" t="s">
        <v>326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0.6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231.4</v>
      </c>
      <c r="BE388">
        <v>0</v>
      </c>
      <c r="BF388">
        <v>160</v>
      </c>
      <c r="BG388">
        <v>0</v>
      </c>
      <c r="BH388">
        <v>0</v>
      </c>
      <c r="BI388">
        <v>32</v>
      </c>
      <c r="BJ388">
        <v>0</v>
      </c>
      <c r="BK388">
        <v>0</v>
      </c>
      <c r="BL388">
        <v>0</v>
      </c>
      <c r="BM388">
        <v>0</v>
      </c>
      <c r="BN388">
        <v>424</v>
      </c>
      <c r="BO388">
        <v>67.84</v>
      </c>
      <c r="BP388">
        <v>16.96</v>
      </c>
      <c r="BQ388">
        <f t="shared" si="6"/>
        <v>474.88000000000005</v>
      </c>
      <c r="BR388" t="s">
        <v>406</v>
      </c>
    </row>
    <row r="389" spans="1:70">
      <c r="A389" t="s">
        <v>1878</v>
      </c>
      <c r="B389" t="s">
        <v>1879</v>
      </c>
      <c r="C389" t="s">
        <v>71</v>
      </c>
      <c r="D389" t="s">
        <v>289</v>
      </c>
      <c r="E389" t="s">
        <v>73</v>
      </c>
      <c r="F389" t="s">
        <v>74</v>
      </c>
      <c r="G389">
        <v>241341</v>
      </c>
      <c r="H389" t="s">
        <v>74</v>
      </c>
      <c r="I389" t="s">
        <v>75</v>
      </c>
      <c r="J389" t="s">
        <v>74</v>
      </c>
      <c r="K389" t="s">
        <v>1880</v>
      </c>
      <c r="L389" t="s">
        <v>77</v>
      </c>
      <c r="M389" t="s">
        <v>78</v>
      </c>
      <c r="N389" t="s">
        <v>79</v>
      </c>
      <c r="O389" t="s">
        <v>1881</v>
      </c>
      <c r="P389" t="s">
        <v>1820</v>
      </c>
      <c r="Z389">
        <v>2</v>
      </c>
      <c r="AF389" t="s">
        <v>339</v>
      </c>
      <c r="AG389" t="s">
        <v>296</v>
      </c>
      <c r="AH389" t="s">
        <v>339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0.3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327.7</v>
      </c>
      <c r="BE389">
        <v>0</v>
      </c>
      <c r="BF389">
        <v>80</v>
      </c>
      <c r="BG389">
        <v>0</v>
      </c>
      <c r="BH389">
        <v>0</v>
      </c>
      <c r="BI389">
        <v>16</v>
      </c>
      <c r="BJ389">
        <v>0</v>
      </c>
      <c r="BK389">
        <v>0</v>
      </c>
      <c r="BL389">
        <v>0</v>
      </c>
      <c r="BM389">
        <v>0</v>
      </c>
      <c r="BN389">
        <v>424</v>
      </c>
      <c r="BO389">
        <v>67.84</v>
      </c>
      <c r="BP389">
        <v>16.96</v>
      </c>
      <c r="BQ389">
        <f t="shared" si="6"/>
        <v>474.88000000000005</v>
      </c>
      <c r="BR389" t="s">
        <v>83</v>
      </c>
    </row>
    <row r="390" spans="1:70">
      <c r="A390" t="s">
        <v>1882</v>
      </c>
      <c r="B390" t="s">
        <v>1883</v>
      </c>
      <c r="C390" t="s">
        <v>71</v>
      </c>
      <c r="D390" t="s">
        <v>289</v>
      </c>
      <c r="E390" t="s">
        <v>73</v>
      </c>
      <c r="F390" t="s">
        <v>74</v>
      </c>
      <c r="G390">
        <v>241340</v>
      </c>
      <c r="H390" t="s">
        <v>74</v>
      </c>
      <c r="I390" t="s">
        <v>75</v>
      </c>
      <c r="J390" t="s">
        <v>74</v>
      </c>
      <c r="K390" t="s">
        <v>1884</v>
      </c>
      <c r="L390" t="s">
        <v>77</v>
      </c>
      <c r="M390" t="s">
        <v>78</v>
      </c>
      <c r="N390" t="s">
        <v>343</v>
      </c>
      <c r="O390" t="s">
        <v>1885</v>
      </c>
      <c r="P390" t="s">
        <v>1820</v>
      </c>
      <c r="Z390">
        <v>2</v>
      </c>
      <c r="AF390" t="s">
        <v>339</v>
      </c>
      <c r="AG390" t="s">
        <v>296</v>
      </c>
      <c r="AH390" t="s">
        <v>339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0.3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327.7</v>
      </c>
      <c r="BE390">
        <v>0</v>
      </c>
      <c r="BF390">
        <v>80</v>
      </c>
      <c r="BG390">
        <v>0</v>
      </c>
      <c r="BH390">
        <v>0</v>
      </c>
      <c r="BI390">
        <v>16</v>
      </c>
      <c r="BJ390">
        <v>0</v>
      </c>
      <c r="BK390">
        <v>0</v>
      </c>
      <c r="BL390">
        <v>0</v>
      </c>
      <c r="BM390">
        <v>0</v>
      </c>
      <c r="BN390">
        <v>424</v>
      </c>
      <c r="BO390">
        <v>67.84</v>
      </c>
      <c r="BP390">
        <v>16.96</v>
      </c>
      <c r="BQ390">
        <f t="shared" si="6"/>
        <v>474.88000000000005</v>
      </c>
      <c r="BR390" t="s">
        <v>343</v>
      </c>
    </row>
    <row r="391" spans="1:70">
      <c r="A391" t="s">
        <v>1886</v>
      </c>
      <c r="B391" t="s">
        <v>1887</v>
      </c>
      <c r="C391" t="s">
        <v>71</v>
      </c>
      <c r="D391" t="s">
        <v>289</v>
      </c>
      <c r="E391" t="s">
        <v>73</v>
      </c>
      <c r="F391" t="s">
        <v>74</v>
      </c>
      <c r="G391" t="s">
        <v>1888</v>
      </c>
      <c r="H391" t="s">
        <v>74</v>
      </c>
      <c r="I391" t="s">
        <v>75</v>
      </c>
      <c r="J391" t="s">
        <v>74</v>
      </c>
      <c r="K391" t="s">
        <v>1889</v>
      </c>
      <c r="L391" t="s">
        <v>77</v>
      </c>
      <c r="M391" t="s">
        <v>78</v>
      </c>
      <c r="N391" t="s">
        <v>950</v>
      </c>
      <c r="O391" t="s">
        <v>1403</v>
      </c>
      <c r="P391" t="s">
        <v>1820</v>
      </c>
      <c r="AF391" t="s">
        <v>345</v>
      </c>
      <c r="AG391" t="s">
        <v>296</v>
      </c>
      <c r="AH391" t="s">
        <v>1890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1.05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108.15</v>
      </c>
      <c r="BE391">
        <v>0</v>
      </c>
      <c r="BF391">
        <v>280</v>
      </c>
      <c r="BG391">
        <v>0</v>
      </c>
      <c r="BH391">
        <v>0</v>
      </c>
      <c r="BI391">
        <v>56</v>
      </c>
      <c r="BJ391">
        <v>0</v>
      </c>
      <c r="BK391">
        <v>0</v>
      </c>
      <c r="BL391">
        <v>0</v>
      </c>
      <c r="BM391">
        <v>0</v>
      </c>
      <c r="BN391">
        <v>445.2</v>
      </c>
      <c r="BO391">
        <v>71.23</v>
      </c>
      <c r="BP391">
        <v>17.809999999999999</v>
      </c>
      <c r="BQ391">
        <f t="shared" si="6"/>
        <v>498.61999999999995</v>
      </c>
      <c r="BR391" t="s">
        <v>950</v>
      </c>
    </row>
    <row r="392" spans="1:70">
      <c r="A392" t="s">
        <v>1891</v>
      </c>
      <c r="B392" t="s">
        <v>1892</v>
      </c>
      <c r="C392" t="s">
        <v>71</v>
      </c>
      <c r="D392" t="s">
        <v>289</v>
      </c>
      <c r="E392" t="s">
        <v>73</v>
      </c>
      <c r="F392" t="s">
        <v>74</v>
      </c>
      <c r="G392">
        <v>241288</v>
      </c>
      <c r="H392" t="s">
        <v>74</v>
      </c>
      <c r="I392" t="s">
        <v>75</v>
      </c>
      <c r="J392" t="s">
        <v>74</v>
      </c>
      <c r="K392" t="s">
        <v>1893</v>
      </c>
      <c r="L392" t="s">
        <v>77</v>
      </c>
      <c r="M392" t="s">
        <v>78</v>
      </c>
      <c r="N392" t="s">
        <v>499</v>
      </c>
      <c r="O392" t="s">
        <v>1894</v>
      </c>
      <c r="P392" t="s">
        <v>1820</v>
      </c>
      <c r="V392">
        <v>1</v>
      </c>
      <c r="AF392" t="s">
        <v>295</v>
      </c>
      <c r="AG392" t="s">
        <v>296</v>
      </c>
      <c r="AH392" t="s">
        <v>295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0.15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423.55</v>
      </c>
      <c r="BE392">
        <v>0</v>
      </c>
      <c r="BF392">
        <v>40</v>
      </c>
      <c r="BG392">
        <v>0</v>
      </c>
      <c r="BH392">
        <v>0</v>
      </c>
      <c r="BI392">
        <v>8</v>
      </c>
      <c r="BJ392">
        <v>0</v>
      </c>
      <c r="BK392">
        <v>0</v>
      </c>
      <c r="BL392">
        <v>0</v>
      </c>
      <c r="BM392">
        <v>0</v>
      </c>
      <c r="BN392">
        <v>471.7</v>
      </c>
      <c r="BO392">
        <v>75.47</v>
      </c>
      <c r="BP392">
        <v>18.87</v>
      </c>
      <c r="BQ392">
        <f t="shared" si="6"/>
        <v>528.29999999999995</v>
      </c>
      <c r="BR392" t="s">
        <v>501</v>
      </c>
    </row>
    <row r="393" spans="1:70">
      <c r="A393" t="s">
        <v>1895</v>
      </c>
      <c r="B393" t="s">
        <v>1896</v>
      </c>
      <c r="C393" t="s">
        <v>71</v>
      </c>
      <c r="D393" t="s">
        <v>289</v>
      </c>
      <c r="E393" t="s">
        <v>73</v>
      </c>
      <c r="F393" t="s">
        <v>74</v>
      </c>
      <c r="G393">
        <v>241287</v>
      </c>
      <c r="H393" t="s">
        <v>74</v>
      </c>
      <c r="I393" t="s">
        <v>75</v>
      </c>
      <c r="J393" t="s">
        <v>74</v>
      </c>
      <c r="K393" t="s">
        <v>1897</v>
      </c>
      <c r="L393" t="s">
        <v>77</v>
      </c>
      <c r="M393" t="s">
        <v>78</v>
      </c>
      <c r="N393" t="s">
        <v>964</v>
      </c>
      <c r="O393" t="s">
        <v>1050</v>
      </c>
      <c r="P393" t="s">
        <v>1820</v>
      </c>
      <c r="AB393">
        <v>3</v>
      </c>
      <c r="AF393" t="s">
        <v>314</v>
      </c>
      <c r="AG393" t="s">
        <v>296</v>
      </c>
      <c r="AH393" t="s">
        <v>314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0.45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327.24</v>
      </c>
      <c r="BE393">
        <v>0</v>
      </c>
      <c r="BF393">
        <v>120</v>
      </c>
      <c r="BG393">
        <v>0</v>
      </c>
      <c r="BH393">
        <v>0</v>
      </c>
      <c r="BI393">
        <v>24</v>
      </c>
      <c r="BJ393">
        <v>0</v>
      </c>
      <c r="BK393">
        <v>0</v>
      </c>
      <c r="BL393">
        <v>0</v>
      </c>
      <c r="BM393">
        <v>0</v>
      </c>
      <c r="BN393">
        <v>471.69</v>
      </c>
      <c r="BO393">
        <v>75.47</v>
      </c>
      <c r="BP393">
        <v>18.87</v>
      </c>
      <c r="BQ393">
        <f t="shared" si="6"/>
        <v>528.29</v>
      </c>
      <c r="BR393" t="s">
        <v>964</v>
      </c>
    </row>
    <row r="394" spans="1:70">
      <c r="A394" t="s">
        <v>1898</v>
      </c>
      <c r="B394" t="s">
        <v>1899</v>
      </c>
      <c r="C394" t="s">
        <v>71</v>
      </c>
      <c r="D394" t="s">
        <v>289</v>
      </c>
      <c r="E394" t="s">
        <v>73</v>
      </c>
      <c r="F394" t="s">
        <v>74</v>
      </c>
      <c r="G394">
        <v>241285</v>
      </c>
      <c r="H394" t="s">
        <v>74</v>
      </c>
      <c r="I394" t="s">
        <v>75</v>
      </c>
      <c r="J394" t="s">
        <v>74</v>
      </c>
      <c r="K394" t="s">
        <v>1900</v>
      </c>
      <c r="L394" t="s">
        <v>77</v>
      </c>
      <c r="M394" t="s">
        <v>78</v>
      </c>
      <c r="N394" t="s">
        <v>421</v>
      </c>
      <c r="O394" t="s">
        <v>1901</v>
      </c>
      <c r="P394" t="s">
        <v>1820</v>
      </c>
      <c r="X394">
        <v>6</v>
      </c>
      <c r="AF394" t="s">
        <v>400</v>
      </c>
      <c r="AG394" t="s">
        <v>296</v>
      </c>
      <c r="AH394" t="s">
        <v>400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0.9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277.14</v>
      </c>
      <c r="BE394">
        <v>0</v>
      </c>
      <c r="BF394">
        <v>240</v>
      </c>
      <c r="BG394">
        <v>0</v>
      </c>
      <c r="BH394">
        <v>0</v>
      </c>
      <c r="BI394">
        <v>48</v>
      </c>
      <c r="BJ394">
        <v>0</v>
      </c>
      <c r="BK394">
        <v>0</v>
      </c>
      <c r="BL394">
        <v>0</v>
      </c>
      <c r="BM394">
        <v>0</v>
      </c>
      <c r="BN394">
        <v>566.04</v>
      </c>
      <c r="BO394">
        <v>90.56</v>
      </c>
      <c r="BP394">
        <v>22.65</v>
      </c>
      <c r="BQ394">
        <f t="shared" si="6"/>
        <v>633.94999999999993</v>
      </c>
      <c r="BR394" t="s">
        <v>423</v>
      </c>
    </row>
    <row r="395" spans="1:70">
      <c r="A395" t="s">
        <v>1902</v>
      </c>
      <c r="B395" t="s">
        <v>1903</v>
      </c>
      <c r="C395" t="s">
        <v>71</v>
      </c>
      <c r="D395" t="s">
        <v>289</v>
      </c>
      <c r="E395" t="s">
        <v>73</v>
      </c>
      <c r="F395" t="s">
        <v>74</v>
      </c>
      <c r="G395">
        <v>241283</v>
      </c>
      <c r="H395" t="s">
        <v>74</v>
      </c>
      <c r="I395" t="s">
        <v>75</v>
      </c>
      <c r="J395" t="s">
        <v>74</v>
      </c>
      <c r="K395" t="s">
        <v>1904</v>
      </c>
      <c r="L395" t="s">
        <v>77</v>
      </c>
      <c r="M395" t="s">
        <v>78</v>
      </c>
      <c r="N395" t="s">
        <v>614</v>
      </c>
      <c r="O395" t="s">
        <v>1905</v>
      </c>
      <c r="P395" t="s">
        <v>1820</v>
      </c>
      <c r="X395">
        <v>19</v>
      </c>
      <c r="AF395" t="s">
        <v>569</v>
      </c>
      <c r="AG395" t="s">
        <v>296</v>
      </c>
      <c r="AH395" t="s">
        <v>569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2.85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877.61</v>
      </c>
      <c r="BE395">
        <v>0</v>
      </c>
      <c r="BF395">
        <v>760</v>
      </c>
      <c r="BG395">
        <v>0</v>
      </c>
      <c r="BH395">
        <v>0</v>
      </c>
      <c r="BI395">
        <v>152</v>
      </c>
      <c r="BJ395">
        <v>0</v>
      </c>
      <c r="BK395">
        <v>0</v>
      </c>
      <c r="BL395">
        <v>0</v>
      </c>
      <c r="BM395">
        <v>0</v>
      </c>
      <c r="BN395">
        <v>1792.46</v>
      </c>
      <c r="BO395">
        <v>286.8</v>
      </c>
      <c r="BP395">
        <v>71.69</v>
      </c>
      <c r="BQ395">
        <f t="shared" si="6"/>
        <v>2007.5700000000002</v>
      </c>
      <c r="BR395" t="s">
        <v>616</v>
      </c>
    </row>
    <row r="396" spans="1:70">
      <c r="A396" t="s">
        <v>1906</v>
      </c>
      <c r="B396" t="s">
        <v>1907</v>
      </c>
      <c r="C396" t="s">
        <v>71</v>
      </c>
      <c r="D396" t="s">
        <v>289</v>
      </c>
      <c r="E396" t="s">
        <v>73</v>
      </c>
      <c r="F396" t="s">
        <v>74</v>
      </c>
      <c r="G396">
        <v>241273</v>
      </c>
      <c r="H396" t="s">
        <v>74</v>
      </c>
      <c r="I396" t="s">
        <v>75</v>
      </c>
      <c r="J396" t="s">
        <v>74</v>
      </c>
      <c r="K396" t="s">
        <v>1908</v>
      </c>
      <c r="L396" t="s">
        <v>77</v>
      </c>
      <c r="M396" t="s">
        <v>78</v>
      </c>
      <c r="N396" t="s">
        <v>880</v>
      </c>
      <c r="O396" t="s">
        <v>881</v>
      </c>
      <c r="P396" t="s">
        <v>1820</v>
      </c>
      <c r="X396">
        <v>6</v>
      </c>
      <c r="AF396" t="s">
        <v>400</v>
      </c>
      <c r="AG396" t="s">
        <v>296</v>
      </c>
      <c r="AH396" t="s">
        <v>400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0.9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277.14</v>
      </c>
      <c r="BE396">
        <v>0</v>
      </c>
      <c r="BF396">
        <v>240</v>
      </c>
      <c r="BG396">
        <v>0</v>
      </c>
      <c r="BH396">
        <v>0</v>
      </c>
      <c r="BI396">
        <v>48</v>
      </c>
      <c r="BJ396">
        <v>0</v>
      </c>
      <c r="BK396">
        <v>0</v>
      </c>
      <c r="BL396">
        <v>0</v>
      </c>
      <c r="BM396">
        <v>0</v>
      </c>
      <c r="BN396">
        <v>566.04</v>
      </c>
      <c r="BO396">
        <v>90.56</v>
      </c>
      <c r="BP396">
        <v>22.65</v>
      </c>
      <c r="BQ396">
        <f t="shared" si="6"/>
        <v>633.94999999999993</v>
      </c>
      <c r="BR396" t="s">
        <v>880</v>
      </c>
    </row>
    <row r="397" spans="1:70">
      <c r="A397" t="s">
        <v>1909</v>
      </c>
      <c r="B397" t="s">
        <v>1910</v>
      </c>
      <c r="C397" t="s">
        <v>71</v>
      </c>
      <c r="D397" t="s">
        <v>289</v>
      </c>
      <c r="E397" t="s">
        <v>73</v>
      </c>
      <c r="F397" t="s">
        <v>74</v>
      </c>
      <c r="G397">
        <v>241271</v>
      </c>
      <c r="H397" t="s">
        <v>74</v>
      </c>
      <c r="I397" t="s">
        <v>75</v>
      </c>
      <c r="J397" t="s">
        <v>74</v>
      </c>
      <c r="K397" t="s">
        <v>1911</v>
      </c>
      <c r="L397" t="s">
        <v>77</v>
      </c>
      <c r="M397" t="s">
        <v>78</v>
      </c>
      <c r="N397" t="s">
        <v>1427</v>
      </c>
      <c r="O397" t="s">
        <v>1912</v>
      </c>
      <c r="P397" t="s">
        <v>1820</v>
      </c>
      <c r="X397">
        <v>15</v>
      </c>
      <c r="AF397" t="s">
        <v>235</v>
      </c>
      <c r="AG397" t="s">
        <v>296</v>
      </c>
      <c r="AH397" t="s">
        <v>235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2.25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231.75</v>
      </c>
      <c r="BE397">
        <v>0</v>
      </c>
      <c r="BF397">
        <v>600</v>
      </c>
      <c r="BG397">
        <v>0</v>
      </c>
      <c r="BH397">
        <v>0</v>
      </c>
      <c r="BI397">
        <v>120</v>
      </c>
      <c r="BJ397">
        <v>0</v>
      </c>
      <c r="BK397">
        <v>0</v>
      </c>
      <c r="BL397">
        <v>0</v>
      </c>
      <c r="BM397">
        <v>0</v>
      </c>
      <c r="BN397">
        <v>954</v>
      </c>
      <c r="BO397">
        <v>152.63999999999999</v>
      </c>
      <c r="BP397">
        <v>38.159999999999997</v>
      </c>
      <c r="BQ397">
        <f t="shared" si="6"/>
        <v>1068.4799999999998</v>
      </c>
      <c r="BR397" t="s">
        <v>1429</v>
      </c>
    </row>
    <row r="398" spans="1:70">
      <c r="A398" t="s">
        <v>1913</v>
      </c>
      <c r="B398" t="s">
        <v>1914</v>
      </c>
      <c r="C398" t="s">
        <v>71</v>
      </c>
      <c r="D398" t="s">
        <v>289</v>
      </c>
      <c r="E398" t="s">
        <v>73</v>
      </c>
      <c r="F398" t="s">
        <v>74</v>
      </c>
      <c r="G398">
        <v>241268</v>
      </c>
      <c r="H398" t="s">
        <v>74</v>
      </c>
      <c r="I398" t="s">
        <v>75</v>
      </c>
      <c r="J398" t="s">
        <v>74</v>
      </c>
      <c r="K398" t="s">
        <v>1915</v>
      </c>
      <c r="L398" t="s">
        <v>77</v>
      </c>
      <c r="M398" t="s">
        <v>78</v>
      </c>
      <c r="N398" t="s">
        <v>757</v>
      </c>
      <c r="O398" t="s">
        <v>1916</v>
      </c>
      <c r="P398" t="s">
        <v>1820</v>
      </c>
      <c r="Z398">
        <v>2</v>
      </c>
      <c r="AF398" t="s">
        <v>339</v>
      </c>
      <c r="AG398" t="s">
        <v>296</v>
      </c>
      <c r="AH398" t="s">
        <v>339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0.3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327.7</v>
      </c>
      <c r="BE398">
        <v>0</v>
      </c>
      <c r="BF398">
        <v>80</v>
      </c>
      <c r="BG398">
        <v>0</v>
      </c>
      <c r="BH398">
        <v>0</v>
      </c>
      <c r="BI398">
        <v>16</v>
      </c>
      <c r="BJ398">
        <v>0</v>
      </c>
      <c r="BK398">
        <v>0</v>
      </c>
      <c r="BL398">
        <v>0</v>
      </c>
      <c r="BM398">
        <v>0</v>
      </c>
      <c r="BN398">
        <v>424</v>
      </c>
      <c r="BO398">
        <v>67.84</v>
      </c>
      <c r="BP398">
        <v>16.96</v>
      </c>
      <c r="BQ398">
        <f t="shared" si="6"/>
        <v>474.88000000000005</v>
      </c>
      <c r="BR398" t="s">
        <v>757</v>
      </c>
    </row>
    <row r="399" spans="1:70">
      <c r="A399" t="s">
        <v>1917</v>
      </c>
      <c r="B399" t="s">
        <v>1918</v>
      </c>
      <c r="C399" t="s">
        <v>71</v>
      </c>
      <c r="D399" t="s">
        <v>289</v>
      </c>
      <c r="E399" t="s">
        <v>73</v>
      </c>
      <c r="F399" t="s">
        <v>74</v>
      </c>
      <c r="G399">
        <v>241265</v>
      </c>
      <c r="H399" t="s">
        <v>74</v>
      </c>
      <c r="I399" t="s">
        <v>75</v>
      </c>
      <c r="J399" t="s">
        <v>74</v>
      </c>
      <c r="K399" t="s">
        <v>1919</v>
      </c>
      <c r="L399" t="s">
        <v>77</v>
      </c>
      <c r="M399" t="s">
        <v>78</v>
      </c>
      <c r="N399" t="s">
        <v>924</v>
      </c>
      <c r="O399" t="s">
        <v>1920</v>
      </c>
      <c r="P399" t="s">
        <v>1820</v>
      </c>
      <c r="X399">
        <v>25</v>
      </c>
      <c r="AF399" t="s">
        <v>717</v>
      </c>
      <c r="AG399" t="s">
        <v>296</v>
      </c>
      <c r="AH399" t="s">
        <v>717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3.75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386.25</v>
      </c>
      <c r="BE399">
        <v>0</v>
      </c>
      <c r="BF399">
        <v>1000</v>
      </c>
      <c r="BG399">
        <v>0</v>
      </c>
      <c r="BH399">
        <v>0</v>
      </c>
      <c r="BI399">
        <v>200</v>
      </c>
      <c r="BJ399">
        <v>0</v>
      </c>
      <c r="BK399">
        <v>0</v>
      </c>
      <c r="BL399">
        <v>0</v>
      </c>
      <c r="BM399">
        <v>0</v>
      </c>
      <c r="BN399">
        <v>1590</v>
      </c>
      <c r="BO399">
        <v>254.4</v>
      </c>
      <c r="BP399">
        <v>63.6</v>
      </c>
      <c r="BQ399">
        <f t="shared" si="6"/>
        <v>1780.8000000000002</v>
      </c>
      <c r="BR399" t="s">
        <v>757</v>
      </c>
    </row>
    <row r="400" spans="1:70">
      <c r="A400" t="s">
        <v>1921</v>
      </c>
      <c r="B400" t="s">
        <v>1922</v>
      </c>
      <c r="C400" t="s">
        <v>71</v>
      </c>
      <c r="D400" t="s">
        <v>289</v>
      </c>
      <c r="E400" t="s">
        <v>73</v>
      </c>
      <c r="F400" t="s">
        <v>74</v>
      </c>
      <c r="G400">
        <v>241263</v>
      </c>
      <c r="H400" t="s">
        <v>74</v>
      </c>
      <c r="I400" t="s">
        <v>75</v>
      </c>
      <c r="J400" t="s">
        <v>74</v>
      </c>
      <c r="K400" t="s">
        <v>1923</v>
      </c>
      <c r="L400" t="s">
        <v>77</v>
      </c>
      <c r="M400" t="s">
        <v>78</v>
      </c>
      <c r="N400" t="s">
        <v>649</v>
      </c>
      <c r="O400" t="s">
        <v>1924</v>
      </c>
      <c r="P400" t="s">
        <v>1820</v>
      </c>
      <c r="X400">
        <v>11</v>
      </c>
      <c r="AF400" t="s">
        <v>470</v>
      </c>
      <c r="AG400" t="s">
        <v>296</v>
      </c>
      <c r="AH400" t="s">
        <v>470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1.65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169.95</v>
      </c>
      <c r="BE400">
        <v>0</v>
      </c>
      <c r="BF400">
        <v>440</v>
      </c>
      <c r="BG400">
        <v>0</v>
      </c>
      <c r="BH400">
        <v>0</v>
      </c>
      <c r="BI400">
        <v>88</v>
      </c>
      <c r="BJ400">
        <v>0</v>
      </c>
      <c r="BK400">
        <v>0</v>
      </c>
      <c r="BL400">
        <v>0</v>
      </c>
      <c r="BM400">
        <v>0</v>
      </c>
      <c r="BN400">
        <v>699.6</v>
      </c>
      <c r="BO400">
        <v>111.93</v>
      </c>
      <c r="BP400">
        <v>27.99</v>
      </c>
      <c r="BQ400">
        <f t="shared" si="6"/>
        <v>783.54</v>
      </c>
      <c r="BR400" t="s">
        <v>649</v>
      </c>
    </row>
    <row r="401" spans="1:70">
      <c r="A401" t="s">
        <v>1925</v>
      </c>
      <c r="B401" t="s">
        <v>1926</v>
      </c>
      <c r="C401" t="s">
        <v>71</v>
      </c>
      <c r="D401" t="s">
        <v>289</v>
      </c>
      <c r="E401" t="s">
        <v>73</v>
      </c>
      <c r="F401" t="s">
        <v>74</v>
      </c>
      <c r="G401">
        <v>241261</v>
      </c>
      <c r="H401" t="s">
        <v>74</v>
      </c>
      <c r="I401" t="s">
        <v>75</v>
      </c>
      <c r="J401" t="s">
        <v>74</v>
      </c>
      <c r="K401" t="s">
        <v>1927</v>
      </c>
      <c r="L401" t="s">
        <v>77</v>
      </c>
      <c r="M401" t="s">
        <v>78</v>
      </c>
      <c r="N401" t="s">
        <v>349</v>
      </c>
      <c r="O401" t="s">
        <v>1928</v>
      </c>
      <c r="P401" t="s">
        <v>1820</v>
      </c>
      <c r="X401">
        <v>31</v>
      </c>
      <c r="AF401" t="s">
        <v>1059</v>
      </c>
      <c r="AG401" t="s">
        <v>296</v>
      </c>
      <c r="AH401" t="s">
        <v>1059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4.6500000000000004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1431.89</v>
      </c>
      <c r="BE401">
        <v>0</v>
      </c>
      <c r="BF401">
        <v>1240</v>
      </c>
      <c r="BG401">
        <v>0</v>
      </c>
      <c r="BH401">
        <v>0</v>
      </c>
      <c r="BI401">
        <v>248</v>
      </c>
      <c r="BJ401">
        <v>0</v>
      </c>
      <c r="BK401">
        <v>0</v>
      </c>
      <c r="BL401">
        <v>0</v>
      </c>
      <c r="BM401">
        <v>0</v>
      </c>
      <c r="BN401">
        <v>2924.54</v>
      </c>
      <c r="BO401">
        <v>467.92</v>
      </c>
      <c r="BP401">
        <v>116.99</v>
      </c>
      <c r="BQ401">
        <f t="shared" si="6"/>
        <v>3275.4700000000003</v>
      </c>
      <c r="BR401" t="s">
        <v>349</v>
      </c>
    </row>
    <row r="402" spans="1:70">
      <c r="A402" t="s">
        <v>1929</v>
      </c>
      <c r="B402" t="s">
        <v>1930</v>
      </c>
      <c r="C402" t="s">
        <v>71</v>
      </c>
      <c r="D402" t="s">
        <v>289</v>
      </c>
      <c r="E402" t="s">
        <v>73</v>
      </c>
      <c r="F402" t="s">
        <v>74</v>
      </c>
      <c r="G402">
        <v>241252</v>
      </c>
      <c r="H402" t="s">
        <v>74</v>
      </c>
      <c r="I402" t="s">
        <v>75</v>
      </c>
      <c r="J402" t="s">
        <v>74</v>
      </c>
      <c r="K402" t="s">
        <v>1931</v>
      </c>
      <c r="L402" t="s">
        <v>77</v>
      </c>
      <c r="M402" t="s">
        <v>78</v>
      </c>
      <c r="N402" t="s">
        <v>349</v>
      </c>
      <c r="O402" t="s">
        <v>1932</v>
      </c>
      <c r="P402" t="s">
        <v>1820</v>
      </c>
      <c r="X402">
        <v>12</v>
      </c>
      <c r="AF402" t="s">
        <v>379</v>
      </c>
      <c r="AG402" t="s">
        <v>296</v>
      </c>
      <c r="AH402" t="s">
        <v>379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1.8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554.28</v>
      </c>
      <c r="BE402">
        <v>0</v>
      </c>
      <c r="BF402">
        <v>480</v>
      </c>
      <c r="BG402">
        <v>0</v>
      </c>
      <c r="BH402">
        <v>0</v>
      </c>
      <c r="BI402">
        <v>96</v>
      </c>
      <c r="BJ402">
        <v>0</v>
      </c>
      <c r="BK402">
        <v>0</v>
      </c>
      <c r="BL402">
        <v>0</v>
      </c>
      <c r="BM402">
        <v>0</v>
      </c>
      <c r="BN402">
        <v>1132.08</v>
      </c>
      <c r="BO402">
        <v>181.13</v>
      </c>
      <c r="BP402">
        <v>45.28</v>
      </c>
      <c r="BQ402">
        <f t="shared" si="6"/>
        <v>1267.93</v>
      </c>
      <c r="BR402" t="s">
        <v>349</v>
      </c>
    </row>
    <row r="403" spans="1:70">
      <c r="A403" t="s">
        <v>1933</v>
      </c>
      <c r="B403" t="s">
        <v>1934</v>
      </c>
      <c r="C403" t="s">
        <v>71</v>
      </c>
      <c r="D403" t="s">
        <v>289</v>
      </c>
      <c r="E403" t="s">
        <v>73</v>
      </c>
      <c r="F403" t="s">
        <v>74</v>
      </c>
      <c r="G403">
        <v>241248</v>
      </c>
      <c r="H403" t="s">
        <v>74</v>
      </c>
      <c r="I403" t="s">
        <v>75</v>
      </c>
      <c r="J403" t="s">
        <v>74</v>
      </c>
      <c r="K403" t="s">
        <v>1935</v>
      </c>
      <c r="L403" t="s">
        <v>77</v>
      </c>
      <c r="M403" t="s">
        <v>78</v>
      </c>
      <c r="N403" t="s">
        <v>349</v>
      </c>
      <c r="O403" t="s">
        <v>1936</v>
      </c>
      <c r="P403" t="s">
        <v>1820</v>
      </c>
      <c r="X403">
        <v>29</v>
      </c>
      <c r="AF403" t="s">
        <v>574</v>
      </c>
      <c r="AG403" t="s">
        <v>296</v>
      </c>
      <c r="AH403" t="s">
        <v>574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4.3499999999999996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1339.51</v>
      </c>
      <c r="BE403">
        <v>0</v>
      </c>
      <c r="BF403">
        <v>1160</v>
      </c>
      <c r="BG403">
        <v>0</v>
      </c>
      <c r="BH403">
        <v>0</v>
      </c>
      <c r="BI403">
        <v>232</v>
      </c>
      <c r="BJ403">
        <v>0</v>
      </c>
      <c r="BK403">
        <v>0</v>
      </c>
      <c r="BL403">
        <v>0</v>
      </c>
      <c r="BM403">
        <v>0</v>
      </c>
      <c r="BN403">
        <v>2735.86</v>
      </c>
      <c r="BO403">
        <v>437.74</v>
      </c>
      <c r="BP403">
        <v>109.43</v>
      </c>
      <c r="BQ403">
        <f t="shared" si="6"/>
        <v>3064.1700000000005</v>
      </c>
      <c r="BR403" t="s">
        <v>349</v>
      </c>
    </row>
    <row r="404" spans="1:70">
      <c r="A404" t="s">
        <v>1937</v>
      </c>
      <c r="B404" t="s">
        <v>1938</v>
      </c>
      <c r="C404" t="s">
        <v>71</v>
      </c>
      <c r="D404" t="s">
        <v>289</v>
      </c>
      <c r="E404" t="s">
        <v>73</v>
      </c>
      <c r="F404" t="s">
        <v>74</v>
      </c>
      <c r="G404">
        <v>241244</v>
      </c>
      <c r="H404" t="s">
        <v>74</v>
      </c>
      <c r="I404" t="s">
        <v>75</v>
      </c>
      <c r="J404" t="s">
        <v>74</v>
      </c>
      <c r="K404" t="s">
        <v>1939</v>
      </c>
      <c r="L404" t="s">
        <v>77</v>
      </c>
      <c r="M404" t="s">
        <v>78</v>
      </c>
      <c r="N404" t="s">
        <v>250</v>
      </c>
      <c r="O404" t="s">
        <v>1940</v>
      </c>
      <c r="P404" t="s">
        <v>1820</v>
      </c>
      <c r="X404">
        <v>35</v>
      </c>
      <c r="AF404" t="s">
        <v>1941</v>
      </c>
      <c r="AG404" t="s">
        <v>296</v>
      </c>
      <c r="AH404" t="s">
        <v>1941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5.25</v>
      </c>
      <c r="AT404">
        <v>0</v>
      </c>
      <c r="AU404">
        <v>0</v>
      </c>
      <c r="AV404">
        <v>920.15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1616.65</v>
      </c>
      <c r="BE404">
        <v>0</v>
      </c>
      <c r="BF404">
        <v>1400</v>
      </c>
      <c r="BG404">
        <v>0</v>
      </c>
      <c r="BH404">
        <v>0</v>
      </c>
      <c r="BI404">
        <v>280</v>
      </c>
      <c r="BJ404">
        <v>0</v>
      </c>
      <c r="BK404">
        <v>0</v>
      </c>
      <c r="BL404">
        <v>0</v>
      </c>
      <c r="BM404">
        <v>0</v>
      </c>
      <c r="BN404">
        <v>4222.05</v>
      </c>
      <c r="BO404">
        <v>675.52</v>
      </c>
      <c r="BP404">
        <v>132.08000000000001</v>
      </c>
      <c r="BQ404">
        <f t="shared" si="6"/>
        <v>4765.49</v>
      </c>
      <c r="BR404" t="s">
        <v>253</v>
      </c>
    </row>
    <row r="405" spans="1:70">
      <c r="A405" t="s">
        <v>1942</v>
      </c>
      <c r="B405" t="s">
        <v>1943</v>
      </c>
      <c r="C405" t="s">
        <v>71</v>
      </c>
      <c r="D405" t="s">
        <v>289</v>
      </c>
      <c r="E405" t="s">
        <v>73</v>
      </c>
      <c r="F405" t="s">
        <v>74</v>
      </c>
      <c r="G405">
        <v>241246</v>
      </c>
      <c r="H405" t="s">
        <v>74</v>
      </c>
      <c r="I405" t="s">
        <v>75</v>
      </c>
      <c r="J405" t="s">
        <v>74</v>
      </c>
      <c r="K405" t="s">
        <v>1944</v>
      </c>
      <c r="L405" t="s">
        <v>77</v>
      </c>
      <c r="M405" t="s">
        <v>78</v>
      </c>
      <c r="N405" t="s">
        <v>438</v>
      </c>
      <c r="O405" t="s">
        <v>1945</v>
      </c>
      <c r="P405" t="s">
        <v>1820</v>
      </c>
      <c r="X405">
        <v>12</v>
      </c>
      <c r="AF405" t="s">
        <v>379</v>
      </c>
      <c r="AG405" t="s">
        <v>296</v>
      </c>
      <c r="AH405" t="s">
        <v>379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1.8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185.4</v>
      </c>
      <c r="BE405">
        <v>0</v>
      </c>
      <c r="BF405">
        <v>480</v>
      </c>
      <c r="BG405">
        <v>0</v>
      </c>
      <c r="BH405">
        <v>0</v>
      </c>
      <c r="BI405">
        <v>96</v>
      </c>
      <c r="BJ405">
        <v>0</v>
      </c>
      <c r="BK405">
        <v>0</v>
      </c>
      <c r="BL405">
        <v>0</v>
      </c>
      <c r="BM405">
        <v>0</v>
      </c>
      <c r="BN405">
        <v>763.2</v>
      </c>
      <c r="BO405">
        <v>122.11</v>
      </c>
      <c r="BP405">
        <v>30.53</v>
      </c>
      <c r="BQ405">
        <f t="shared" si="6"/>
        <v>854.78000000000009</v>
      </c>
      <c r="BR405" t="s">
        <v>440</v>
      </c>
    </row>
    <row r="406" spans="1:70">
      <c r="A406" t="s">
        <v>1946</v>
      </c>
      <c r="B406" t="s">
        <v>1947</v>
      </c>
      <c r="C406" t="s">
        <v>71</v>
      </c>
      <c r="D406" t="s">
        <v>289</v>
      </c>
      <c r="E406" t="s">
        <v>73</v>
      </c>
      <c r="F406" t="s">
        <v>74</v>
      </c>
      <c r="G406">
        <v>241220</v>
      </c>
      <c r="H406" t="s">
        <v>74</v>
      </c>
      <c r="I406" t="s">
        <v>75</v>
      </c>
      <c r="J406" t="s">
        <v>74</v>
      </c>
      <c r="K406" t="s">
        <v>1948</v>
      </c>
      <c r="L406" t="s">
        <v>77</v>
      </c>
      <c r="M406" t="s">
        <v>78</v>
      </c>
      <c r="N406" t="s">
        <v>330</v>
      </c>
      <c r="O406" t="s">
        <v>1949</v>
      </c>
      <c r="P406" t="s">
        <v>1820</v>
      </c>
      <c r="X406">
        <v>28</v>
      </c>
      <c r="AF406" t="s">
        <v>1238</v>
      </c>
      <c r="AG406" t="s">
        <v>296</v>
      </c>
      <c r="AH406" t="s">
        <v>1238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4.2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1293.32</v>
      </c>
      <c r="BE406">
        <v>0</v>
      </c>
      <c r="BF406">
        <v>1120</v>
      </c>
      <c r="BG406">
        <v>0</v>
      </c>
      <c r="BH406">
        <v>0</v>
      </c>
      <c r="BI406">
        <v>224</v>
      </c>
      <c r="BJ406">
        <v>0</v>
      </c>
      <c r="BK406">
        <v>0</v>
      </c>
      <c r="BL406">
        <v>0</v>
      </c>
      <c r="BM406">
        <v>0</v>
      </c>
      <c r="BN406">
        <v>2641.52</v>
      </c>
      <c r="BO406">
        <v>422.64</v>
      </c>
      <c r="BP406">
        <v>105.66</v>
      </c>
      <c r="BQ406">
        <f t="shared" si="6"/>
        <v>2958.5</v>
      </c>
      <c r="BR406" t="s">
        <v>332</v>
      </c>
    </row>
    <row r="407" spans="1:70">
      <c r="A407" t="s">
        <v>1950</v>
      </c>
      <c r="B407" t="s">
        <v>1951</v>
      </c>
      <c r="C407" t="s">
        <v>71</v>
      </c>
      <c r="D407" t="s">
        <v>289</v>
      </c>
      <c r="E407" t="s">
        <v>73</v>
      </c>
      <c r="F407" t="s">
        <v>74</v>
      </c>
      <c r="G407">
        <v>241267</v>
      </c>
      <c r="H407" t="s">
        <v>74</v>
      </c>
      <c r="I407" t="s">
        <v>75</v>
      </c>
      <c r="J407" t="s">
        <v>74</v>
      </c>
      <c r="K407" t="s">
        <v>1952</v>
      </c>
      <c r="L407" t="s">
        <v>77</v>
      </c>
      <c r="M407" t="s">
        <v>78</v>
      </c>
      <c r="N407" t="s">
        <v>330</v>
      </c>
      <c r="O407" t="s">
        <v>1953</v>
      </c>
      <c r="P407" t="s">
        <v>1954</v>
      </c>
      <c r="X407">
        <v>16</v>
      </c>
      <c r="AF407" t="s">
        <v>482</v>
      </c>
      <c r="AG407" t="s">
        <v>296</v>
      </c>
      <c r="AH407" t="s">
        <v>482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2.4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739.04</v>
      </c>
      <c r="BE407">
        <v>0</v>
      </c>
      <c r="BF407">
        <v>640</v>
      </c>
      <c r="BG407">
        <v>0</v>
      </c>
      <c r="BH407">
        <v>0</v>
      </c>
      <c r="BI407">
        <v>128</v>
      </c>
      <c r="BJ407">
        <v>0</v>
      </c>
      <c r="BK407">
        <v>0</v>
      </c>
      <c r="BL407">
        <v>0</v>
      </c>
      <c r="BM407">
        <v>0</v>
      </c>
      <c r="BN407">
        <v>1509.44</v>
      </c>
      <c r="BO407">
        <v>241.51</v>
      </c>
      <c r="BP407">
        <v>60.38</v>
      </c>
      <c r="BQ407">
        <f t="shared" si="6"/>
        <v>1690.57</v>
      </c>
      <c r="BR407" t="s">
        <v>332</v>
      </c>
    </row>
    <row r="408" spans="1:70">
      <c r="A408" t="s">
        <v>1955</v>
      </c>
      <c r="B408" t="s">
        <v>1956</v>
      </c>
      <c r="C408" t="s">
        <v>71</v>
      </c>
      <c r="D408" t="s">
        <v>289</v>
      </c>
      <c r="E408" t="s">
        <v>73</v>
      </c>
      <c r="F408" t="s">
        <v>74</v>
      </c>
      <c r="G408">
        <v>11</v>
      </c>
      <c r="H408" t="s">
        <v>74</v>
      </c>
      <c r="I408" t="s">
        <v>75</v>
      </c>
      <c r="J408" t="s">
        <v>74</v>
      </c>
      <c r="K408" t="s">
        <v>91</v>
      </c>
      <c r="L408" t="s">
        <v>77</v>
      </c>
      <c r="M408" t="s">
        <v>78</v>
      </c>
      <c r="N408" t="s">
        <v>1064</v>
      </c>
      <c r="O408" t="s">
        <v>1065</v>
      </c>
      <c r="P408" t="s">
        <v>1954</v>
      </c>
      <c r="AD408">
        <v>4</v>
      </c>
      <c r="AF408" t="s">
        <v>326</v>
      </c>
      <c r="AG408" t="s">
        <v>296</v>
      </c>
      <c r="AH408" t="s">
        <v>326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0.6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231.4</v>
      </c>
      <c r="BE408">
        <v>0</v>
      </c>
      <c r="BF408">
        <v>160</v>
      </c>
      <c r="BG408">
        <v>0</v>
      </c>
      <c r="BH408">
        <v>0</v>
      </c>
      <c r="BI408">
        <v>32</v>
      </c>
      <c r="BJ408">
        <v>0</v>
      </c>
      <c r="BK408">
        <v>0</v>
      </c>
      <c r="BL408">
        <v>0</v>
      </c>
      <c r="BM408">
        <v>0</v>
      </c>
      <c r="BN408">
        <v>424</v>
      </c>
      <c r="BO408">
        <v>67.84</v>
      </c>
      <c r="BP408">
        <v>16.96</v>
      </c>
      <c r="BQ408">
        <f t="shared" si="6"/>
        <v>474.88000000000005</v>
      </c>
      <c r="BR408" t="s">
        <v>83</v>
      </c>
    </row>
    <row r="409" spans="1:70">
      <c r="A409" t="s">
        <v>1957</v>
      </c>
      <c r="B409" t="s">
        <v>1958</v>
      </c>
      <c r="C409" t="s">
        <v>71</v>
      </c>
      <c r="D409" t="s">
        <v>289</v>
      </c>
      <c r="E409" t="s">
        <v>73</v>
      </c>
      <c r="F409" t="s">
        <v>74</v>
      </c>
      <c r="G409">
        <v>241399</v>
      </c>
      <c r="H409" t="s">
        <v>74</v>
      </c>
      <c r="I409" t="s">
        <v>75</v>
      </c>
      <c r="J409" t="s">
        <v>74</v>
      </c>
      <c r="K409" t="s">
        <v>1959</v>
      </c>
      <c r="L409" t="s">
        <v>77</v>
      </c>
      <c r="M409" t="s">
        <v>78</v>
      </c>
      <c r="N409" t="s">
        <v>501</v>
      </c>
      <c r="O409" t="s">
        <v>1960</v>
      </c>
      <c r="P409" t="s">
        <v>1954</v>
      </c>
      <c r="X409">
        <v>10</v>
      </c>
      <c r="AF409" t="s">
        <v>372</v>
      </c>
      <c r="AG409" t="s">
        <v>296</v>
      </c>
      <c r="AH409" t="s">
        <v>372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1.5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461.9</v>
      </c>
      <c r="BE409">
        <v>0</v>
      </c>
      <c r="BF409">
        <v>400</v>
      </c>
      <c r="BG409">
        <v>0</v>
      </c>
      <c r="BH409">
        <v>0</v>
      </c>
      <c r="BI409">
        <v>80</v>
      </c>
      <c r="BJ409">
        <v>0</v>
      </c>
      <c r="BK409">
        <v>0</v>
      </c>
      <c r="BL409">
        <v>0</v>
      </c>
      <c r="BM409">
        <v>0</v>
      </c>
      <c r="BN409">
        <v>943.4</v>
      </c>
      <c r="BO409">
        <v>150.94</v>
      </c>
      <c r="BP409">
        <v>37.74</v>
      </c>
      <c r="BQ409">
        <f t="shared" si="6"/>
        <v>1056.5999999999999</v>
      </c>
      <c r="BR409" t="s">
        <v>501</v>
      </c>
    </row>
    <row r="410" spans="1:70">
      <c r="A410" t="s">
        <v>1961</v>
      </c>
      <c r="B410" t="s">
        <v>1962</v>
      </c>
      <c r="C410" t="s">
        <v>71</v>
      </c>
      <c r="D410" t="s">
        <v>289</v>
      </c>
      <c r="E410" t="s">
        <v>73</v>
      </c>
      <c r="F410" t="s">
        <v>74</v>
      </c>
      <c r="G410">
        <v>241392</v>
      </c>
      <c r="H410" t="s">
        <v>74</v>
      </c>
      <c r="I410" t="s">
        <v>75</v>
      </c>
      <c r="J410" t="s">
        <v>74</v>
      </c>
      <c r="K410" t="s">
        <v>1963</v>
      </c>
      <c r="L410" t="s">
        <v>77</v>
      </c>
      <c r="M410" t="s">
        <v>78</v>
      </c>
      <c r="N410" t="s">
        <v>161</v>
      </c>
      <c r="O410" t="s">
        <v>1964</v>
      </c>
      <c r="P410" t="s">
        <v>1954</v>
      </c>
      <c r="X410">
        <v>14</v>
      </c>
      <c r="AF410" t="s">
        <v>413</v>
      </c>
      <c r="AG410" t="s">
        <v>296</v>
      </c>
      <c r="AH410" t="s">
        <v>413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2.1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216.3</v>
      </c>
      <c r="BE410">
        <v>0</v>
      </c>
      <c r="BF410">
        <v>560</v>
      </c>
      <c r="BG410">
        <v>0</v>
      </c>
      <c r="BH410">
        <v>0</v>
      </c>
      <c r="BI410">
        <v>112</v>
      </c>
      <c r="BJ410">
        <v>0</v>
      </c>
      <c r="BK410">
        <v>0</v>
      </c>
      <c r="BL410">
        <v>0</v>
      </c>
      <c r="BM410">
        <v>0</v>
      </c>
      <c r="BN410">
        <v>890.4</v>
      </c>
      <c r="BO410">
        <v>142.47</v>
      </c>
      <c r="BP410">
        <v>35.61</v>
      </c>
      <c r="BQ410">
        <f t="shared" si="6"/>
        <v>997.25999999999988</v>
      </c>
      <c r="BR410" t="s">
        <v>83</v>
      </c>
    </row>
    <row r="411" spans="1:70">
      <c r="A411" t="s">
        <v>1965</v>
      </c>
      <c r="B411" t="s">
        <v>1966</v>
      </c>
      <c r="C411" t="s">
        <v>71</v>
      </c>
      <c r="D411" t="s">
        <v>289</v>
      </c>
      <c r="E411" t="s">
        <v>73</v>
      </c>
      <c r="F411" t="s">
        <v>74</v>
      </c>
      <c r="G411">
        <v>241378</v>
      </c>
      <c r="H411" t="s">
        <v>74</v>
      </c>
      <c r="I411" t="s">
        <v>75</v>
      </c>
      <c r="J411" t="s">
        <v>74</v>
      </c>
      <c r="K411" t="s">
        <v>1967</v>
      </c>
      <c r="L411" t="s">
        <v>77</v>
      </c>
      <c r="M411" t="s">
        <v>78</v>
      </c>
      <c r="N411" t="s">
        <v>137</v>
      </c>
      <c r="O411" t="s">
        <v>933</v>
      </c>
      <c r="P411" t="s">
        <v>1954</v>
      </c>
      <c r="AD411">
        <v>4</v>
      </c>
      <c r="AF411" t="s">
        <v>326</v>
      </c>
      <c r="AG411" t="s">
        <v>296</v>
      </c>
      <c r="AH411" t="s">
        <v>326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0.6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279.12</v>
      </c>
      <c r="BE411">
        <v>0</v>
      </c>
      <c r="BF411">
        <v>160</v>
      </c>
      <c r="BG411">
        <v>0</v>
      </c>
      <c r="BH411">
        <v>0</v>
      </c>
      <c r="BI411">
        <v>32</v>
      </c>
      <c r="BJ411">
        <v>0</v>
      </c>
      <c r="BK411">
        <v>0</v>
      </c>
      <c r="BL411">
        <v>0</v>
      </c>
      <c r="BM411">
        <v>0</v>
      </c>
      <c r="BN411">
        <v>471.72</v>
      </c>
      <c r="BO411">
        <v>75.48</v>
      </c>
      <c r="BP411">
        <v>18.86</v>
      </c>
      <c r="BQ411">
        <f t="shared" si="6"/>
        <v>528.34</v>
      </c>
      <c r="BR411" t="s">
        <v>141</v>
      </c>
    </row>
    <row r="412" spans="1:70">
      <c r="A412" t="s">
        <v>1968</v>
      </c>
      <c r="B412" t="s">
        <v>1969</v>
      </c>
      <c r="C412" t="s">
        <v>71</v>
      </c>
      <c r="D412" t="s">
        <v>289</v>
      </c>
      <c r="E412" t="s">
        <v>73</v>
      </c>
      <c r="F412" t="s">
        <v>74</v>
      </c>
      <c r="G412">
        <v>241369</v>
      </c>
      <c r="H412" t="s">
        <v>74</v>
      </c>
      <c r="I412" t="s">
        <v>75</v>
      </c>
      <c r="J412" t="s">
        <v>74</v>
      </c>
      <c r="K412" t="s">
        <v>1970</v>
      </c>
      <c r="L412" t="s">
        <v>77</v>
      </c>
      <c r="M412" t="s">
        <v>78</v>
      </c>
      <c r="N412" t="s">
        <v>343</v>
      </c>
      <c r="O412" t="s">
        <v>1538</v>
      </c>
      <c r="P412" t="s">
        <v>1954</v>
      </c>
      <c r="V412">
        <v>1</v>
      </c>
      <c r="AF412" t="s">
        <v>295</v>
      </c>
      <c r="AG412" t="s">
        <v>296</v>
      </c>
      <c r="AH412" t="s">
        <v>295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0.15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375.85</v>
      </c>
      <c r="BE412">
        <v>0</v>
      </c>
      <c r="BF412">
        <v>40</v>
      </c>
      <c r="BG412">
        <v>0</v>
      </c>
      <c r="BH412">
        <v>0</v>
      </c>
      <c r="BI412">
        <v>8</v>
      </c>
      <c r="BJ412">
        <v>0</v>
      </c>
      <c r="BK412">
        <v>0</v>
      </c>
      <c r="BL412">
        <v>0</v>
      </c>
      <c r="BM412">
        <v>0</v>
      </c>
      <c r="BN412">
        <v>424</v>
      </c>
      <c r="BO412">
        <v>67.84</v>
      </c>
      <c r="BP412">
        <v>16.96</v>
      </c>
      <c r="BQ412">
        <f t="shared" si="6"/>
        <v>474.88000000000005</v>
      </c>
      <c r="BR412" t="s">
        <v>343</v>
      </c>
    </row>
    <row r="413" spans="1:70">
      <c r="A413" t="s">
        <v>1971</v>
      </c>
      <c r="B413" t="s">
        <v>1972</v>
      </c>
      <c r="C413" t="s">
        <v>71</v>
      </c>
      <c r="D413" t="s">
        <v>289</v>
      </c>
      <c r="E413" t="s">
        <v>73</v>
      </c>
      <c r="F413" t="s">
        <v>74</v>
      </c>
      <c r="G413">
        <v>241368</v>
      </c>
      <c r="H413" t="s">
        <v>74</v>
      </c>
      <c r="I413" t="s">
        <v>75</v>
      </c>
      <c r="J413" t="s">
        <v>74</v>
      </c>
      <c r="K413" t="s">
        <v>1973</v>
      </c>
      <c r="L413" t="s">
        <v>77</v>
      </c>
      <c r="M413" t="s">
        <v>78</v>
      </c>
      <c r="N413" t="s">
        <v>524</v>
      </c>
      <c r="O413" t="s">
        <v>1314</v>
      </c>
      <c r="P413" t="s">
        <v>1954</v>
      </c>
      <c r="X413">
        <v>5</v>
      </c>
      <c r="AF413" t="s">
        <v>333</v>
      </c>
      <c r="AG413" t="s">
        <v>296</v>
      </c>
      <c r="AH413" t="s">
        <v>333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0.75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77.25</v>
      </c>
      <c r="BE413">
        <v>0</v>
      </c>
      <c r="BF413">
        <v>200</v>
      </c>
      <c r="BG413">
        <v>0</v>
      </c>
      <c r="BH413">
        <v>0</v>
      </c>
      <c r="BI413">
        <v>40</v>
      </c>
      <c r="BJ413">
        <v>0</v>
      </c>
      <c r="BK413">
        <v>0</v>
      </c>
      <c r="BL413">
        <v>0</v>
      </c>
      <c r="BM413">
        <v>0</v>
      </c>
      <c r="BN413">
        <v>318</v>
      </c>
      <c r="BO413">
        <v>50.88</v>
      </c>
      <c r="BP413">
        <v>12.72</v>
      </c>
      <c r="BQ413">
        <f t="shared" si="6"/>
        <v>356.15999999999997</v>
      </c>
      <c r="BR413" t="s">
        <v>524</v>
      </c>
    </row>
    <row r="414" spans="1:70">
      <c r="A414" t="s">
        <v>1974</v>
      </c>
      <c r="B414" t="s">
        <v>1975</v>
      </c>
      <c r="C414" t="s">
        <v>71</v>
      </c>
      <c r="D414" t="s">
        <v>289</v>
      </c>
      <c r="E414" t="s">
        <v>73</v>
      </c>
      <c r="F414" t="s">
        <v>74</v>
      </c>
      <c r="G414">
        <v>241366</v>
      </c>
      <c r="H414" t="s">
        <v>74</v>
      </c>
      <c r="I414" t="s">
        <v>75</v>
      </c>
      <c r="J414" t="s">
        <v>74</v>
      </c>
      <c r="K414" t="s">
        <v>1976</v>
      </c>
      <c r="L414" t="s">
        <v>77</v>
      </c>
      <c r="M414" t="s">
        <v>78</v>
      </c>
      <c r="N414" t="s">
        <v>1318</v>
      </c>
      <c r="O414" t="s">
        <v>1319</v>
      </c>
      <c r="P414" t="s">
        <v>1954</v>
      </c>
      <c r="AB414">
        <v>3</v>
      </c>
      <c r="AF414" t="s">
        <v>314</v>
      </c>
      <c r="AG414" t="s">
        <v>296</v>
      </c>
      <c r="AH414" t="s">
        <v>314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0.45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279.54000000000002</v>
      </c>
      <c r="BE414">
        <v>0</v>
      </c>
      <c r="BF414">
        <v>120</v>
      </c>
      <c r="BG414">
        <v>0</v>
      </c>
      <c r="BH414">
        <v>0</v>
      </c>
      <c r="BI414">
        <v>24</v>
      </c>
      <c r="BJ414">
        <v>0</v>
      </c>
      <c r="BK414">
        <v>0</v>
      </c>
      <c r="BL414">
        <v>0</v>
      </c>
      <c r="BM414">
        <v>0</v>
      </c>
      <c r="BN414">
        <v>423.99</v>
      </c>
      <c r="BO414">
        <v>67.84</v>
      </c>
      <c r="BP414">
        <v>16.96</v>
      </c>
      <c r="BQ414">
        <f t="shared" si="6"/>
        <v>474.87000000000006</v>
      </c>
      <c r="BR414" t="s">
        <v>1318</v>
      </c>
    </row>
    <row r="415" spans="1:70">
      <c r="A415" t="s">
        <v>1977</v>
      </c>
      <c r="B415" t="s">
        <v>1978</v>
      </c>
      <c r="C415" t="s">
        <v>71</v>
      </c>
      <c r="D415" t="s">
        <v>289</v>
      </c>
      <c r="E415" t="s">
        <v>73</v>
      </c>
      <c r="F415" t="s">
        <v>74</v>
      </c>
      <c r="G415">
        <v>241364</v>
      </c>
      <c r="H415" t="s">
        <v>74</v>
      </c>
      <c r="I415" t="s">
        <v>75</v>
      </c>
      <c r="J415" t="s">
        <v>74</v>
      </c>
      <c r="K415" t="s">
        <v>1979</v>
      </c>
      <c r="L415" t="s">
        <v>77</v>
      </c>
      <c r="M415" t="s">
        <v>78</v>
      </c>
      <c r="N415" t="s">
        <v>282</v>
      </c>
      <c r="O415" t="s">
        <v>1242</v>
      </c>
      <c r="P415" t="s">
        <v>1954</v>
      </c>
      <c r="AD415">
        <v>4</v>
      </c>
      <c r="AF415" t="s">
        <v>326</v>
      </c>
      <c r="AG415" t="s">
        <v>296</v>
      </c>
      <c r="AH415" t="s">
        <v>326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0.6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279.12</v>
      </c>
      <c r="BE415">
        <v>0</v>
      </c>
      <c r="BF415">
        <v>160</v>
      </c>
      <c r="BG415">
        <v>0</v>
      </c>
      <c r="BH415">
        <v>0</v>
      </c>
      <c r="BI415">
        <v>32</v>
      </c>
      <c r="BJ415">
        <v>0</v>
      </c>
      <c r="BK415">
        <v>0</v>
      </c>
      <c r="BL415">
        <v>0</v>
      </c>
      <c r="BM415">
        <v>0</v>
      </c>
      <c r="BN415">
        <v>471.72</v>
      </c>
      <c r="BO415">
        <v>75.48</v>
      </c>
      <c r="BP415">
        <v>18.86</v>
      </c>
      <c r="BQ415">
        <f t="shared" si="6"/>
        <v>528.34</v>
      </c>
      <c r="BR415" t="s">
        <v>286</v>
      </c>
    </row>
    <row r="416" spans="1:70">
      <c r="A416" t="s">
        <v>1980</v>
      </c>
      <c r="B416" t="s">
        <v>1981</v>
      </c>
      <c r="C416" t="s">
        <v>71</v>
      </c>
      <c r="D416" t="s">
        <v>289</v>
      </c>
      <c r="E416" t="s">
        <v>73</v>
      </c>
      <c r="F416" t="s">
        <v>74</v>
      </c>
      <c r="G416">
        <v>241363</v>
      </c>
      <c r="H416" t="s">
        <v>74</v>
      </c>
      <c r="I416" t="s">
        <v>75</v>
      </c>
      <c r="J416" t="s">
        <v>74</v>
      </c>
      <c r="K416" t="s">
        <v>1982</v>
      </c>
      <c r="L416" t="s">
        <v>77</v>
      </c>
      <c r="M416" t="s">
        <v>78</v>
      </c>
      <c r="N416" t="s">
        <v>614</v>
      </c>
      <c r="O416" t="s">
        <v>615</v>
      </c>
      <c r="P416" t="s">
        <v>1954</v>
      </c>
      <c r="Z416">
        <v>2</v>
      </c>
      <c r="AF416" t="s">
        <v>339</v>
      </c>
      <c r="AG416" t="s">
        <v>296</v>
      </c>
      <c r="AH416" t="s">
        <v>339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0.3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375.4</v>
      </c>
      <c r="BE416">
        <v>0</v>
      </c>
      <c r="BF416">
        <v>80</v>
      </c>
      <c r="BG416">
        <v>0</v>
      </c>
      <c r="BH416">
        <v>0</v>
      </c>
      <c r="BI416">
        <v>16</v>
      </c>
      <c r="BJ416">
        <v>0</v>
      </c>
      <c r="BK416">
        <v>0</v>
      </c>
      <c r="BL416">
        <v>0</v>
      </c>
      <c r="BM416">
        <v>0</v>
      </c>
      <c r="BN416">
        <v>471.7</v>
      </c>
      <c r="BO416">
        <v>75.47</v>
      </c>
      <c r="BP416">
        <v>18.87</v>
      </c>
      <c r="BQ416">
        <f t="shared" si="6"/>
        <v>528.29999999999995</v>
      </c>
      <c r="BR416" t="s">
        <v>616</v>
      </c>
    </row>
    <row r="417" spans="1:70">
      <c r="A417" t="s">
        <v>1983</v>
      </c>
      <c r="B417" t="s">
        <v>1984</v>
      </c>
      <c r="C417" t="s">
        <v>71</v>
      </c>
      <c r="D417" t="s">
        <v>289</v>
      </c>
      <c r="E417" t="s">
        <v>73</v>
      </c>
      <c r="F417" t="s">
        <v>74</v>
      </c>
      <c r="G417">
        <v>241362</v>
      </c>
      <c r="H417" t="s">
        <v>74</v>
      </c>
      <c r="I417" t="s">
        <v>75</v>
      </c>
      <c r="J417" t="s">
        <v>74</v>
      </c>
      <c r="K417" t="s">
        <v>1985</v>
      </c>
      <c r="L417" t="s">
        <v>77</v>
      </c>
      <c r="M417" t="s">
        <v>78</v>
      </c>
      <c r="N417" t="s">
        <v>432</v>
      </c>
      <c r="O417" t="s">
        <v>606</v>
      </c>
      <c r="P417" t="s">
        <v>1954</v>
      </c>
      <c r="Z417">
        <v>2</v>
      </c>
      <c r="AF417" t="s">
        <v>339</v>
      </c>
      <c r="AG417" t="s">
        <v>296</v>
      </c>
      <c r="AH417" t="s">
        <v>339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0.3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375.4</v>
      </c>
      <c r="BE417">
        <v>0</v>
      </c>
      <c r="BF417">
        <v>80</v>
      </c>
      <c r="BG417">
        <v>0</v>
      </c>
      <c r="BH417">
        <v>0</v>
      </c>
      <c r="BI417">
        <v>16</v>
      </c>
      <c r="BJ417">
        <v>0</v>
      </c>
      <c r="BK417">
        <v>0</v>
      </c>
      <c r="BL417">
        <v>0</v>
      </c>
      <c r="BM417">
        <v>0</v>
      </c>
      <c r="BN417">
        <v>471.7</v>
      </c>
      <c r="BO417">
        <v>75.47</v>
      </c>
      <c r="BP417">
        <v>18.87</v>
      </c>
      <c r="BQ417">
        <f t="shared" si="6"/>
        <v>528.29999999999995</v>
      </c>
      <c r="BR417" t="s">
        <v>432</v>
      </c>
    </row>
    <row r="418" spans="1:70">
      <c r="A418" t="s">
        <v>1986</v>
      </c>
      <c r="B418" t="s">
        <v>1987</v>
      </c>
      <c r="C418" t="s">
        <v>71</v>
      </c>
      <c r="D418" t="s">
        <v>289</v>
      </c>
      <c r="E418" t="s">
        <v>73</v>
      </c>
      <c r="F418" t="s">
        <v>74</v>
      </c>
      <c r="G418">
        <v>241432</v>
      </c>
      <c r="H418" t="s">
        <v>74</v>
      </c>
      <c r="I418" t="s">
        <v>75</v>
      </c>
      <c r="J418" t="s">
        <v>74</v>
      </c>
      <c r="K418" t="s">
        <v>1988</v>
      </c>
      <c r="L418" t="s">
        <v>77</v>
      </c>
      <c r="M418" t="s">
        <v>78</v>
      </c>
      <c r="N418" t="s">
        <v>438</v>
      </c>
      <c r="O418" t="s">
        <v>439</v>
      </c>
      <c r="P418" t="s">
        <v>1954</v>
      </c>
      <c r="X418">
        <v>11</v>
      </c>
      <c r="AF418" t="s">
        <v>470</v>
      </c>
      <c r="AG418" t="s">
        <v>296</v>
      </c>
      <c r="AH418" t="s">
        <v>470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1.65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169.95</v>
      </c>
      <c r="BE418">
        <v>0</v>
      </c>
      <c r="BF418">
        <v>440</v>
      </c>
      <c r="BG418">
        <v>0</v>
      </c>
      <c r="BH418">
        <v>0</v>
      </c>
      <c r="BI418">
        <v>88</v>
      </c>
      <c r="BJ418">
        <v>0</v>
      </c>
      <c r="BK418">
        <v>0</v>
      </c>
      <c r="BL418">
        <v>0</v>
      </c>
      <c r="BM418">
        <v>0</v>
      </c>
      <c r="BN418">
        <v>699.6</v>
      </c>
      <c r="BO418">
        <v>111.93</v>
      </c>
      <c r="BP418">
        <v>27.99</v>
      </c>
      <c r="BQ418">
        <f t="shared" si="6"/>
        <v>783.54</v>
      </c>
      <c r="BR418" t="s">
        <v>440</v>
      </c>
    </row>
    <row r="419" spans="1:70">
      <c r="A419" t="s">
        <v>1989</v>
      </c>
      <c r="B419" t="s">
        <v>1990</v>
      </c>
      <c r="C419" t="s">
        <v>71</v>
      </c>
      <c r="D419" t="s">
        <v>289</v>
      </c>
      <c r="E419" t="s">
        <v>73</v>
      </c>
      <c r="F419" t="s">
        <v>74</v>
      </c>
      <c r="G419">
        <v>241429</v>
      </c>
      <c r="H419" t="s">
        <v>74</v>
      </c>
      <c r="I419" t="s">
        <v>75</v>
      </c>
      <c r="J419" t="s">
        <v>74</v>
      </c>
      <c r="K419" t="s">
        <v>1991</v>
      </c>
      <c r="L419" t="s">
        <v>77</v>
      </c>
      <c r="M419" t="s">
        <v>78</v>
      </c>
      <c r="N419" t="s">
        <v>553</v>
      </c>
      <c r="O419" t="s">
        <v>1992</v>
      </c>
      <c r="P419" t="s">
        <v>1954</v>
      </c>
      <c r="V419">
        <v>1</v>
      </c>
      <c r="AF419" t="s">
        <v>295</v>
      </c>
      <c r="AG419" t="s">
        <v>296</v>
      </c>
      <c r="AH419" t="s">
        <v>295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0.15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375.85</v>
      </c>
      <c r="BE419">
        <v>0</v>
      </c>
      <c r="BF419">
        <v>40</v>
      </c>
      <c r="BG419">
        <v>0</v>
      </c>
      <c r="BH419">
        <v>0</v>
      </c>
      <c r="BI419">
        <v>8</v>
      </c>
      <c r="BJ419">
        <v>0</v>
      </c>
      <c r="BK419">
        <v>0</v>
      </c>
      <c r="BL419">
        <v>0</v>
      </c>
      <c r="BM419">
        <v>0</v>
      </c>
      <c r="BN419">
        <v>424</v>
      </c>
      <c r="BO419">
        <v>67.84</v>
      </c>
      <c r="BP419">
        <v>16.96</v>
      </c>
      <c r="BQ419">
        <f t="shared" si="6"/>
        <v>474.88000000000005</v>
      </c>
      <c r="BR419" t="s">
        <v>83</v>
      </c>
    </row>
    <row r="420" spans="1:70">
      <c r="A420" t="s">
        <v>1993</v>
      </c>
      <c r="B420" t="s">
        <v>1994</v>
      </c>
      <c r="C420" t="s">
        <v>71</v>
      </c>
      <c r="D420" t="s">
        <v>289</v>
      </c>
      <c r="E420" t="s">
        <v>73</v>
      </c>
      <c r="F420" t="s">
        <v>74</v>
      </c>
      <c r="G420" t="s">
        <v>74</v>
      </c>
      <c r="I420" t="s">
        <v>75</v>
      </c>
      <c r="K420" t="s">
        <v>1995</v>
      </c>
      <c r="L420" t="s">
        <v>77</v>
      </c>
      <c r="M420" t="s">
        <v>78</v>
      </c>
      <c r="N420" t="s">
        <v>161</v>
      </c>
      <c r="O420" t="s">
        <v>1825</v>
      </c>
      <c r="P420" t="s">
        <v>1954</v>
      </c>
      <c r="V420">
        <v>1</v>
      </c>
      <c r="AF420" t="s">
        <v>295</v>
      </c>
      <c r="AG420" t="s">
        <v>296</v>
      </c>
      <c r="AH420" t="s">
        <v>295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0.15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375.85</v>
      </c>
      <c r="BE420">
        <v>0</v>
      </c>
      <c r="BF420">
        <v>40</v>
      </c>
      <c r="BG420">
        <v>0</v>
      </c>
      <c r="BH420">
        <v>0</v>
      </c>
      <c r="BI420">
        <v>8</v>
      </c>
      <c r="BJ420">
        <v>0</v>
      </c>
      <c r="BK420">
        <v>0</v>
      </c>
      <c r="BL420">
        <v>0</v>
      </c>
      <c r="BM420">
        <v>0</v>
      </c>
      <c r="BN420">
        <v>424</v>
      </c>
      <c r="BO420">
        <v>67.84</v>
      </c>
      <c r="BP420">
        <v>16.96</v>
      </c>
      <c r="BQ420">
        <f t="shared" si="6"/>
        <v>474.88000000000005</v>
      </c>
      <c r="BR420" t="s">
        <v>83</v>
      </c>
    </row>
    <row r="421" spans="1:70">
      <c r="A421" t="s">
        <v>1996</v>
      </c>
      <c r="B421" t="s">
        <v>1997</v>
      </c>
      <c r="C421" t="s">
        <v>71</v>
      </c>
      <c r="D421" t="s">
        <v>289</v>
      </c>
      <c r="E421" t="s">
        <v>73</v>
      </c>
      <c r="F421" t="s">
        <v>74</v>
      </c>
      <c r="G421">
        <v>241333</v>
      </c>
      <c r="H421" t="s">
        <v>74</v>
      </c>
      <c r="I421" t="s">
        <v>75</v>
      </c>
      <c r="J421" t="s">
        <v>74</v>
      </c>
      <c r="K421" t="s">
        <v>1998</v>
      </c>
      <c r="L421" t="s">
        <v>77</v>
      </c>
      <c r="M421" t="s">
        <v>78</v>
      </c>
      <c r="N421" t="s">
        <v>438</v>
      </c>
      <c r="O421" t="s">
        <v>1999</v>
      </c>
      <c r="P421" t="s">
        <v>1954</v>
      </c>
      <c r="X421">
        <v>13</v>
      </c>
      <c r="AF421" t="s">
        <v>434</v>
      </c>
      <c r="AG421" t="s">
        <v>296</v>
      </c>
      <c r="AH421" t="s">
        <v>434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1.95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200.85</v>
      </c>
      <c r="BE421">
        <v>0</v>
      </c>
      <c r="BF421">
        <v>520</v>
      </c>
      <c r="BG421">
        <v>0</v>
      </c>
      <c r="BH421">
        <v>0</v>
      </c>
      <c r="BI421">
        <v>104</v>
      </c>
      <c r="BJ421">
        <v>0</v>
      </c>
      <c r="BK421">
        <v>0</v>
      </c>
      <c r="BL421">
        <v>0</v>
      </c>
      <c r="BM421">
        <v>0</v>
      </c>
      <c r="BN421">
        <v>826.8</v>
      </c>
      <c r="BO421">
        <v>132.29</v>
      </c>
      <c r="BP421">
        <v>33.07</v>
      </c>
      <c r="BQ421">
        <f t="shared" si="6"/>
        <v>926.01999999999987</v>
      </c>
      <c r="BR421" t="s">
        <v>440</v>
      </c>
    </row>
    <row r="422" spans="1:70">
      <c r="A422" t="s">
        <v>2000</v>
      </c>
      <c r="B422" t="s">
        <v>2001</v>
      </c>
      <c r="C422" t="s">
        <v>71</v>
      </c>
      <c r="D422" t="s">
        <v>289</v>
      </c>
      <c r="E422" t="s">
        <v>73</v>
      </c>
      <c r="F422" t="s">
        <v>74</v>
      </c>
      <c r="G422">
        <v>241328</v>
      </c>
      <c r="H422" t="s">
        <v>74</v>
      </c>
      <c r="I422" t="s">
        <v>75</v>
      </c>
      <c r="J422" t="s">
        <v>74</v>
      </c>
      <c r="K422" t="s">
        <v>2002</v>
      </c>
      <c r="L422" t="s">
        <v>77</v>
      </c>
      <c r="M422" t="s">
        <v>78</v>
      </c>
      <c r="N422" t="s">
        <v>558</v>
      </c>
      <c r="O422" t="s">
        <v>629</v>
      </c>
      <c r="P422" t="s">
        <v>1954</v>
      </c>
      <c r="V422">
        <v>1</v>
      </c>
      <c r="AF422" t="s">
        <v>295</v>
      </c>
      <c r="AG422" t="s">
        <v>296</v>
      </c>
      <c r="AH422" t="s">
        <v>295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0.15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423.55</v>
      </c>
      <c r="BE422">
        <v>0</v>
      </c>
      <c r="BF422">
        <v>40</v>
      </c>
      <c r="BG422">
        <v>0</v>
      </c>
      <c r="BH422">
        <v>0</v>
      </c>
      <c r="BI422">
        <v>8</v>
      </c>
      <c r="BJ422">
        <v>0</v>
      </c>
      <c r="BK422">
        <v>0</v>
      </c>
      <c r="BL422">
        <v>0</v>
      </c>
      <c r="BM422">
        <v>0</v>
      </c>
      <c r="BN422">
        <v>471.7</v>
      </c>
      <c r="BO422">
        <v>75.47</v>
      </c>
      <c r="BP422">
        <v>18.87</v>
      </c>
      <c r="BQ422">
        <f t="shared" si="6"/>
        <v>528.29999999999995</v>
      </c>
      <c r="BR422" t="s">
        <v>560</v>
      </c>
    </row>
    <row r="423" spans="1:70">
      <c r="A423" t="s">
        <v>2003</v>
      </c>
      <c r="B423" t="s">
        <v>2004</v>
      </c>
      <c r="C423" t="s">
        <v>71</v>
      </c>
      <c r="D423" t="s">
        <v>289</v>
      </c>
      <c r="E423" t="s">
        <v>73</v>
      </c>
      <c r="F423" t="s">
        <v>74</v>
      </c>
      <c r="G423">
        <v>241329</v>
      </c>
      <c r="H423" t="s">
        <v>74</v>
      </c>
      <c r="I423" t="s">
        <v>75</v>
      </c>
      <c r="J423" t="s">
        <v>74</v>
      </c>
      <c r="K423" t="s">
        <v>2005</v>
      </c>
      <c r="L423" t="s">
        <v>77</v>
      </c>
      <c r="M423" t="s">
        <v>78</v>
      </c>
      <c r="N423" t="s">
        <v>734</v>
      </c>
      <c r="O423" t="s">
        <v>2006</v>
      </c>
      <c r="P423" t="s">
        <v>1954</v>
      </c>
      <c r="V423">
        <v>1</v>
      </c>
      <c r="AF423" t="s">
        <v>295</v>
      </c>
      <c r="AG423" t="s">
        <v>296</v>
      </c>
      <c r="AH423" t="s">
        <v>295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0.15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375.85</v>
      </c>
      <c r="BE423">
        <v>0</v>
      </c>
      <c r="BF423">
        <v>40</v>
      </c>
      <c r="BG423">
        <v>0</v>
      </c>
      <c r="BH423">
        <v>0</v>
      </c>
      <c r="BI423">
        <v>8</v>
      </c>
      <c r="BJ423">
        <v>0</v>
      </c>
      <c r="BK423">
        <v>0</v>
      </c>
      <c r="BL423">
        <v>0</v>
      </c>
      <c r="BM423">
        <v>0</v>
      </c>
      <c r="BN423">
        <v>424</v>
      </c>
      <c r="BO423">
        <v>67.84</v>
      </c>
      <c r="BP423">
        <v>16.96</v>
      </c>
      <c r="BQ423">
        <f t="shared" si="6"/>
        <v>474.88000000000005</v>
      </c>
      <c r="BR423" t="s">
        <v>734</v>
      </c>
    </row>
    <row r="424" spans="1:70">
      <c r="A424" t="s">
        <v>2007</v>
      </c>
      <c r="B424" t="s">
        <v>2008</v>
      </c>
      <c r="C424" t="s">
        <v>71</v>
      </c>
      <c r="D424" t="s">
        <v>289</v>
      </c>
      <c r="E424" t="s">
        <v>73</v>
      </c>
      <c r="F424" t="s">
        <v>74</v>
      </c>
      <c r="G424">
        <v>241338</v>
      </c>
      <c r="H424" t="s">
        <v>74</v>
      </c>
      <c r="I424" t="s">
        <v>75</v>
      </c>
      <c r="J424" t="s">
        <v>74</v>
      </c>
      <c r="K424" t="s">
        <v>2009</v>
      </c>
      <c r="L424" t="s">
        <v>77</v>
      </c>
      <c r="M424" t="s">
        <v>78</v>
      </c>
      <c r="N424" t="s">
        <v>1167</v>
      </c>
      <c r="O424" t="s">
        <v>2010</v>
      </c>
      <c r="P424" t="s">
        <v>1954</v>
      </c>
      <c r="X424">
        <v>5</v>
      </c>
      <c r="AF424" t="s">
        <v>333</v>
      </c>
      <c r="AG424" t="s">
        <v>296</v>
      </c>
      <c r="AH424" t="s">
        <v>333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0.75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230.95</v>
      </c>
      <c r="BE424">
        <v>0</v>
      </c>
      <c r="BF424">
        <v>200</v>
      </c>
      <c r="BG424">
        <v>0</v>
      </c>
      <c r="BH424">
        <v>0</v>
      </c>
      <c r="BI424">
        <v>40</v>
      </c>
      <c r="BJ424">
        <v>0</v>
      </c>
      <c r="BK424">
        <v>0</v>
      </c>
      <c r="BL424">
        <v>0</v>
      </c>
      <c r="BM424">
        <v>0</v>
      </c>
      <c r="BN424">
        <v>471.7</v>
      </c>
      <c r="BO424">
        <v>75.47</v>
      </c>
      <c r="BP424">
        <v>18.87</v>
      </c>
      <c r="BQ424">
        <f t="shared" si="6"/>
        <v>528.29999999999995</v>
      </c>
      <c r="BR424" t="s">
        <v>1167</v>
      </c>
    </row>
    <row r="425" spans="1:70">
      <c r="A425" t="s">
        <v>2011</v>
      </c>
      <c r="B425" t="s">
        <v>2012</v>
      </c>
      <c r="C425" t="s">
        <v>71</v>
      </c>
      <c r="D425" t="s">
        <v>289</v>
      </c>
      <c r="E425" t="s">
        <v>73</v>
      </c>
      <c r="F425" t="s">
        <v>74</v>
      </c>
      <c r="G425">
        <v>241396</v>
      </c>
      <c r="H425" t="s">
        <v>74</v>
      </c>
      <c r="I425" t="s">
        <v>75</v>
      </c>
      <c r="J425" t="s">
        <v>74</v>
      </c>
      <c r="K425" t="s">
        <v>2013</v>
      </c>
      <c r="L425" t="s">
        <v>77</v>
      </c>
      <c r="M425" t="s">
        <v>78</v>
      </c>
      <c r="N425" t="s">
        <v>1587</v>
      </c>
      <c r="O425" t="s">
        <v>2014</v>
      </c>
      <c r="P425" t="s">
        <v>1954</v>
      </c>
      <c r="X425">
        <v>11</v>
      </c>
      <c r="AF425" t="s">
        <v>470</v>
      </c>
      <c r="AG425" t="s">
        <v>296</v>
      </c>
      <c r="AH425" t="s">
        <v>470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1.65</v>
      </c>
      <c r="AT425">
        <v>0</v>
      </c>
      <c r="AU425">
        <v>0</v>
      </c>
      <c r="AV425">
        <v>289.19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508.09</v>
      </c>
      <c r="BE425">
        <v>0</v>
      </c>
      <c r="BF425">
        <v>440</v>
      </c>
      <c r="BG425">
        <v>0</v>
      </c>
      <c r="BH425">
        <v>0</v>
      </c>
      <c r="BI425">
        <v>88</v>
      </c>
      <c r="BJ425">
        <v>0</v>
      </c>
      <c r="BK425">
        <v>0</v>
      </c>
      <c r="BL425">
        <v>0</v>
      </c>
      <c r="BM425">
        <v>0</v>
      </c>
      <c r="BN425">
        <v>1326.93</v>
      </c>
      <c r="BO425">
        <v>212.3</v>
      </c>
      <c r="BP425">
        <v>41.51</v>
      </c>
      <c r="BQ425">
        <f t="shared" si="6"/>
        <v>1497.72</v>
      </c>
      <c r="BR425" t="s">
        <v>1589</v>
      </c>
    </row>
    <row r="426" spans="1:70">
      <c r="A426" t="s">
        <v>2015</v>
      </c>
      <c r="B426" t="s">
        <v>2016</v>
      </c>
      <c r="C426" t="s">
        <v>71</v>
      </c>
      <c r="D426" t="s">
        <v>289</v>
      </c>
      <c r="E426" t="s">
        <v>73</v>
      </c>
      <c r="F426" t="s">
        <v>74</v>
      </c>
      <c r="G426">
        <v>241393</v>
      </c>
      <c r="H426" t="s">
        <v>74</v>
      </c>
      <c r="I426" t="s">
        <v>75</v>
      </c>
      <c r="J426" t="s">
        <v>74</v>
      </c>
      <c r="K426" t="s">
        <v>2017</v>
      </c>
      <c r="L426" t="s">
        <v>77</v>
      </c>
      <c r="M426" t="s">
        <v>78</v>
      </c>
      <c r="N426" t="s">
        <v>861</v>
      </c>
      <c r="O426" t="s">
        <v>2018</v>
      </c>
      <c r="P426" t="s">
        <v>1954</v>
      </c>
      <c r="X426">
        <v>28</v>
      </c>
      <c r="AF426" t="s">
        <v>1238</v>
      </c>
      <c r="AG426" t="s">
        <v>296</v>
      </c>
      <c r="AH426" t="s">
        <v>1238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4.2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1293.32</v>
      </c>
      <c r="BE426">
        <v>0</v>
      </c>
      <c r="BF426">
        <v>1120</v>
      </c>
      <c r="BG426">
        <v>0</v>
      </c>
      <c r="BH426">
        <v>0</v>
      </c>
      <c r="BI426">
        <v>224</v>
      </c>
      <c r="BJ426">
        <v>0</v>
      </c>
      <c r="BK426">
        <v>0</v>
      </c>
      <c r="BL426">
        <v>0</v>
      </c>
      <c r="BM426">
        <v>0</v>
      </c>
      <c r="BN426">
        <v>2641.52</v>
      </c>
      <c r="BO426">
        <v>422.64</v>
      </c>
      <c r="BP426">
        <v>105.66</v>
      </c>
      <c r="BQ426">
        <f t="shared" si="6"/>
        <v>2958.5</v>
      </c>
      <c r="BR426" t="s">
        <v>258</v>
      </c>
    </row>
    <row r="427" spans="1:70">
      <c r="A427" t="s">
        <v>2019</v>
      </c>
      <c r="B427" t="s">
        <v>2020</v>
      </c>
      <c r="C427" t="s">
        <v>71</v>
      </c>
      <c r="D427" t="s">
        <v>289</v>
      </c>
      <c r="E427" t="s">
        <v>73</v>
      </c>
      <c r="F427" t="s">
        <v>74</v>
      </c>
      <c r="G427">
        <v>241330</v>
      </c>
      <c r="H427" t="s">
        <v>74</v>
      </c>
      <c r="I427" t="s">
        <v>75</v>
      </c>
      <c r="K427" t="s">
        <v>2021</v>
      </c>
      <c r="L427" t="s">
        <v>77</v>
      </c>
      <c r="M427" t="s">
        <v>78</v>
      </c>
      <c r="N427" t="s">
        <v>1730</v>
      </c>
      <c r="O427" t="s">
        <v>2022</v>
      </c>
      <c r="P427" t="s">
        <v>1954</v>
      </c>
      <c r="V427">
        <v>1</v>
      </c>
      <c r="AF427" t="s">
        <v>295</v>
      </c>
      <c r="AG427" t="s">
        <v>296</v>
      </c>
      <c r="AH427" t="s">
        <v>295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0.15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423.55</v>
      </c>
      <c r="BE427">
        <v>0</v>
      </c>
      <c r="BF427">
        <v>40</v>
      </c>
      <c r="BG427">
        <v>0</v>
      </c>
      <c r="BH427">
        <v>0</v>
      </c>
      <c r="BI427">
        <v>8</v>
      </c>
      <c r="BJ427">
        <v>0</v>
      </c>
      <c r="BK427">
        <v>0</v>
      </c>
      <c r="BL427">
        <v>0</v>
      </c>
      <c r="BM427">
        <v>0</v>
      </c>
      <c r="BN427">
        <v>471.7</v>
      </c>
      <c r="BO427">
        <v>75.47</v>
      </c>
      <c r="BP427">
        <v>18.87</v>
      </c>
      <c r="BQ427">
        <f t="shared" si="6"/>
        <v>528.29999999999995</v>
      </c>
      <c r="BR427" t="s">
        <v>1732</v>
      </c>
    </row>
    <row r="428" spans="1:70">
      <c r="A428" t="s">
        <v>2023</v>
      </c>
      <c r="B428" t="s">
        <v>2024</v>
      </c>
      <c r="C428" t="s">
        <v>71</v>
      </c>
      <c r="D428" t="s">
        <v>289</v>
      </c>
      <c r="E428" t="s">
        <v>73</v>
      </c>
      <c r="F428" t="s">
        <v>74</v>
      </c>
      <c r="G428">
        <v>241331</v>
      </c>
      <c r="H428" t="s">
        <v>74</v>
      </c>
      <c r="I428" t="s">
        <v>75</v>
      </c>
      <c r="J428" t="s">
        <v>74</v>
      </c>
      <c r="K428" t="s">
        <v>2025</v>
      </c>
      <c r="L428" t="s">
        <v>77</v>
      </c>
      <c r="M428" t="s">
        <v>78</v>
      </c>
      <c r="N428" t="s">
        <v>117</v>
      </c>
      <c r="O428" t="s">
        <v>2026</v>
      </c>
      <c r="P428" t="s">
        <v>1954</v>
      </c>
      <c r="X428">
        <v>11</v>
      </c>
      <c r="AF428" t="s">
        <v>470</v>
      </c>
      <c r="AG428" t="s">
        <v>296</v>
      </c>
      <c r="AH428" t="s">
        <v>470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1.65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508.09</v>
      </c>
      <c r="BE428">
        <v>0</v>
      </c>
      <c r="BF428">
        <v>440</v>
      </c>
      <c r="BG428">
        <v>0</v>
      </c>
      <c r="BH428">
        <v>0</v>
      </c>
      <c r="BI428">
        <v>88</v>
      </c>
      <c r="BJ428">
        <v>0</v>
      </c>
      <c r="BK428">
        <v>0</v>
      </c>
      <c r="BL428">
        <v>0</v>
      </c>
      <c r="BM428">
        <v>0</v>
      </c>
      <c r="BN428">
        <v>1037.74</v>
      </c>
      <c r="BO428">
        <v>166.03</v>
      </c>
      <c r="BP428">
        <v>41.51</v>
      </c>
      <c r="BQ428">
        <f t="shared" si="6"/>
        <v>1162.26</v>
      </c>
      <c r="BR428" t="s">
        <v>117</v>
      </c>
    </row>
    <row r="429" spans="1:70">
      <c r="A429" t="s">
        <v>2027</v>
      </c>
      <c r="B429" t="s">
        <v>2028</v>
      </c>
      <c r="C429" t="s">
        <v>71</v>
      </c>
      <c r="D429" t="s">
        <v>289</v>
      </c>
      <c r="E429" t="s">
        <v>73</v>
      </c>
      <c r="F429" t="s">
        <v>74</v>
      </c>
      <c r="G429">
        <v>241336</v>
      </c>
      <c r="H429" t="s">
        <v>74</v>
      </c>
      <c r="I429" t="s">
        <v>75</v>
      </c>
      <c r="J429" t="s">
        <v>74</v>
      </c>
      <c r="K429" t="s">
        <v>2029</v>
      </c>
      <c r="L429" t="s">
        <v>77</v>
      </c>
      <c r="M429" t="s">
        <v>78</v>
      </c>
      <c r="N429" t="s">
        <v>480</v>
      </c>
      <c r="O429" t="s">
        <v>481</v>
      </c>
      <c r="P429" t="s">
        <v>1954</v>
      </c>
      <c r="X429">
        <v>16</v>
      </c>
      <c r="AF429" t="s">
        <v>482</v>
      </c>
      <c r="AG429" t="s">
        <v>296</v>
      </c>
      <c r="AH429" t="s">
        <v>482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2.4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247.2</v>
      </c>
      <c r="BE429">
        <v>0</v>
      </c>
      <c r="BF429">
        <v>640</v>
      </c>
      <c r="BG429">
        <v>0</v>
      </c>
      <c r="BH429">
        <v>0</v>
      </c>
      <c r="BI429">
        <v>128</v>
      </c>
      <c r="BJ429">
        <v>0</v>
      </c>
      <c r="BK429">
        <v>0</v>
      </c>
      <c r="BL429">
        <v>0</v>
      </c>
      <c r="BM429">
        <v>0</v>
      </c>
      <c r="BN429">
        <v>1017.6</v>
      </c>
      <c r="BO429">
        <v>162.81</v>
      </c>
      <c r="BP429">
        <v>40.71</v>
      </c>
      <c r="BQ429">
        <f t="shared" si="6"/>
        <v>1139.7</v>
      </c>
      <c r="BR429" t="s">
        <v>365</v>
      </c>
    </row>
    <row r="430" spans="1:70">
      <c r="A430" t="s">
        <v>2030</v>
      </c>
      <c r="B430" t="s">
        <v>2031</v>
      </c>
      <c r="C430" t="s">
        <v>71</v>
      </c>
      <c r="D430" t="s">
        <v>289</v>
      </c>
      <c r="E430" t="s">
        <v>73</v>
      </c>
      <c r="F430" t="s">
        <v>74</v>
      </c>
      <c r="G430">
        <v>241365</v>
      </c>
      <c r="H430" t="s">
        <v>74</v>
      </c>
      <c r="I430" t="s">
        <v>75</v>
      </c>
      <c r="J430" t="s">
        <v>74</v>
      </c>
      <c r="K430" t="s">
        <v>2032</v>
      </c>
      <c r="L430" t="s">
        <v>77</v>
      </c>
      <c r="M430" t="s">
        <v>78</v>
      </c>
      <c r="N430" t="s">
        <v>2033</v>
      </c>
      <c r="O430" t="s">
        <v>2034</v>
      </c>
      <c r="P430" t="s">
        <v>1954</v>
      </c>
      <c r="T430">
        <v>1</v>
      </c>
      <c r="AF430" t="s">
        <v>823</v>
      </c>
      <c r="AG430" t="s">
        <v>296</v>
      </c>
      <c r="AH430" t="s">
        <v>823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36.46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1529.21</v>
      </c>
      <c r="BE430">
        <v>0</v>
      </c>
      <c r="BF430">
        <v>458.08</v>
      </c>
      <c r="BG430">
        <v>0</v>
      </c>
      <c r="BH430">
        <v>0</v>
      </c>
      <c r="BI430">
        <v>421.62</v>
      </c>
      <c r="BJ430">
        <v>0</v>
      </c>
      <c r="BK430">
        <v>0</v>
      </c>
      <c r="BL430">
        <v>0</v>
      </c>
      <c r="BM430">
        <v>0</v>
      </c>
      <c r="BN430">
        <v>2445.37</v>
      </c>
      <c r="BO430">
        <v>391.25</v>
      </c>
      <c r="BP430">
        <v>97.81</v>
      </c>
      <c r="BQ430">
        <f t="shared" si="6"/>
        <v>2738.81</v>
      </c>
      <c r="BR430" t="s">
        <v>332</v>
      </c>
    </row>
    <row r="431" spans="1:70">
      <c r="A431" t="s">
        <v>2035</v>
      </c>
      <c r="B431" t="s">
        <v>2036</v>
      </c>
      <c r="C431" t="s">
        <v>71</v>
      </c>
      <c r="D431" t="s">
        <v>289</v>
      </c>
      <c r="E431" t="s">
        <v>73</v>
      </c>
      <c r="F431" t="s">
        <v>74</v>
      </c>
      <c r="G431">
        <v>241411</v>
      </c>
      <c r="H431" t="s">
        <v>74</v>
      </c>
      <c r="I431" t="s">
        <v>75</v>
      </c>
      <c r="J431" t="s">
        <v>74</v>
      </c>
      <c r="K431" t="s">
        <v>2037</v>
      </c>
      <c r="L431" t="s">
        <v>77</v>
      </c>
      <c r="M431" t="s">
        <v>78</v>
      </c>
      <c r="N431" t="s">
        <v>964</v>
      </c>
      <c r="O431" t="s">
        <v>1050</v>
      </c>
      <c r="P431" t="s">
        <v>1954</v>
      </c>
      <c r="X431">
        <v>15</v>
      </c>
      <c r="AF431" t="s">
        <v>235</v>
      </c>
      <c r="AG431" t="s">
        <v>296</v>
      </c>
      <c r="AH431" t="s">
        <v>235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2.25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692.85</v>
      </c>
      <c r="BE431">
        <v>0</v>
      </c>
      <c r="BF431">
        <v>600</v>
      </c>
      <c r="BG431">
        <v>0</v>
      </c>
      <c r="BH431">
        <v>0</v>
      </c>
      <c r="BI431">
        <v>120</v>
      </c>
      <c r="BJ431">
        <v>0</v>
      </c>
      <c r="BK431">
        <v>0</v>
      </c>
      <c r="BL431">
        <v>0</v>
      </c>
      <c r="BM431">
        <v>0</v>
      </c>
      <c r="BN431">
        <v>1415.1</v>
      </c>
      <c r="BO431">
        <v>226.42</v>
      </c>
      <c r="BP431">
        <v>56.6</v>
      </c>
      <c r="BQ431">
        <f t="shared" si="6"/>
        <v>1584.92</v>
      </c>
      <c r="BR431" t="s">
        <v>964</v>
      </c>
    </row>
    <row r="432" spans="1:70">
      <c r="A432" t="s">
        <v>2038</v>
      </c>
      <c r="B432" t="s">
        <v>2039</v>
      </c>
      <c r="C432" t="s">
        <v>71</v>
      </c>
      <c r="D432" t="s">
        <v>289</v>
      </c>
      <c r="E432" t="s">
        <v>73</v>
      </c>
      <c r="F432" t="s">
        <v>74</v>
      </c>
      <c r="G432">
        <v>241410</v>
      </c>
      <c r="H432" t="s">
        <v>74</v>
      </c>
      <c r="I432" t="s">
        <v>75</v>
      </c>
      <c r="J432" t="s">
        <v>74</v>
      </c>
      <c r="K432" t="s">
        <v>2040</v>
      </c>
      <c r="L432" t="s">
        <v>77</v>
      </c>
      <c r="M432" t="s">
        <v>78</v>
      </c>
      <c r="N432" t="s">
        <v>2041</v>
      </c>
      <c r="O432" t="s">
        <v>2042</v>
      </c>
      <c r="P432" t="s">
        <v>1954</v>
      </c>
      <c r="X432">
        <v>14</v>
      </c>
      <c r="AF432" t="s">
        <v>413</v>
      </c>
      <c r="AG432" t="s">
        <v>296</v>
      </c>
      <c r="AH432" t="s">
        <v>413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2.1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646.66</v>
      </c>
      <c r="BE432">
        <v>0</v>
      </c>
      <c r="BF432">
        <v>560</v>
      </c>
      <c r="BG432">
        <v>0</v>
      </c>
      <c r="BH432">
        <v>0</v>
      </c>
      <c r="BI432">
        <v>112</v>
      </c>
      <c r="BJ432">
        <v>0</v>
      </c>
      <c r="BK432">
        <v>0</v>
      </c>
      <c r="BL432">
        <v>0</v>
      </c>
      <c r="BM432">
        <v>0</v>
      </c>
      <c r="BN432">
        <v>1320.76</v>
      </c>
      <c r="BO432">
        <v>211.33</v>
      </c>
      <c r="BP432">
        <v>52.83</v>
      </c>
      <c r="BQ432">
        <f t="shared" si="6"/>
        <v>1479.26</v>
      </c>
      <c r="BR432" t="s">
        <v>2041</v>
      </c>
    </row>
    <row r="433" spans="1:70">
      <c r="A433" t="s">
        <v>2043</v>
      </c>
      <c r="B433" t="s">
        <v>2044</v>
      </c>
      <c r="C433" t="s">
        <v>71</v>
      </c>
      <c r="D433" t="s">
        <v>289</v>
      </c>
      <c r="E433" t="s">
        <v>73</v>
      </c>
      <c r="F433" t="s">
        <v>74</v>
      </c>
      <c r="G433">
        <v>241408</v>
      </c>
      <c r="H433" t="s">
        <v>74</v>
      </c>
      <c r="I433" t="s">
        <v>75</v>
      </c>
      <c r="J433" t="s">
        <v>74</v>
      </c>
      <c r="K433" t="s">
        <v>2045</v>
      </c>
      <c r="L433" t="s">
        <v>77</v>
      </c>
      <c r="M433" t="s">
        <v>78</v>
      </c>
      <c r="N433" t="s">
        <v>765</v>
      </c>
      <c r="O433" t="s">
        <v>2046</v>
      </c>
      <c r="P433" t="s">
        <v>1954</v>
      </c>
      <c r="Z433">
        <v>2</v>
      </c>
      <c r="AF433" t="s">
        <v>339</v>
      </c>
      <c r="AG433" t="s">
        <v>296</v>
      </c>
      <c r="AH433" t="s">
        <v>339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0.3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375.4</v>
      </c>
      <c r="BE433">
        <v>0</v>
      </c>
      <c r="BF433">
        <v>80</v>
      </c>
      <c r="BG433">
        <v>0</v>
      </c>
      <c r="BH433">
        <v>0</v>
      </c>
      <c r="BI433">
        <v>16</v>
      </c>
      <c r="BJ433">
        <v>0</v>
      </c>
      <c r="BK433">
        <v>0</v>
      </c>
      <c r="BL433">
        <v>0</v>
      </c>
      <c r="BM433">
        <v>0</v>
      </c>
      <c r="BN433">
        <v>471.7</v>
      </c>
      <c r="BO433">
        <v>75.47</v>
      </c>
      <c r="BP433">
        <v>18.87</v>
      </c>
      <c r="BQ433">
        <f t="shared" si="6"/>
        <v>528.29999999999995</v>
      </c>
      <c r="BR433" t="s">
        <v>332</v>
      </c>
    </row>
    <row r="434" spans="1:70">
      <c r="A434" t="s">
        <v>2047</v>
      </c>
      <c r="B434" t="s">
        <v>2048</v>
      </c>
      <c r="C434" t="s">
        <v>71</v>
      </c>
      <c r="D434" t="s">
        <v>289</v>
      </c>
      <c r="E434" t="s">
        <v>73</v>
      </c>
      <c r="F434" t="s">
        <v>74</v>
      </c>
      <c r="G434">
        <v>241405</v>
      </c>
      <c r="H434" t="s">
        <v>74</v>
      </c>
      <c r="I434" t="s">
        <v>75</v>
      </c>
      <c r="K434" t="s">
        <v>2049</v>
      </c>
      <c r="L434" t="s">
        <v>77</v>
      </c>
      <c r="M434" t="s">
        <v>78</v>
      </c>
      <c r="N434" t="s">
        <v>337</v>
      </c>
      <c r="O434" t="s">
        <v>2050</v>
      </c>
      <c r="P434" t="s">
        <v>1954</v>
      </c>
      <c r="X434">
        <v>10</v>
      </c>
      <c r="AF434" t="s">
        <v>372</v>
      </c>
      <c r="AG434" t="s">
        <v>296</v>
      </c>
      <c r="AH434" t="s">
        <v>372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1.5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461.9</v>
      </c>
      <c r="BE434">
        <v>0</v>
      </c>
      <c r="BF434">
        <v>400</v>
      </c>
      <c r="BG434">
        <v>0</v>
      </c>
      <c r="BH434">
        <v>0</v>
      </c>
      <c r="BI434">
        <v>80</v>
      </c>
      <c r="BJ434">
        <v>0</v>
      </c>
      <c r="BK434">
        <v>0</v>
      </c>
      <c r="BL434">
        <v>0</v>
      </c>
      <c r="BM434">
        <v>0</v>
      </c>
      <c r="BN434">
        <v>943.4</v>
      </c>
      <c r="BO434">
        <v>150.94</v>
      </c>
      <c r="BP434">
        <v>37.74</v>
      </c>
      <c r="BQ434">
        <f t="shared" si="6"/>
        <v>1056.5999999999999</v>
      </c>
      <c r="BR434" t="s">
        <v>337</v>
      </c>
    </row>
    <row r="435" spans="1:70">
      <c r="A435" t="s">
        <v>2051</v>
      </c>
      <c r="B435" t="s">
        <v>2052</v>
      </c>
      <c r="C435" t="s">
        <v>71</v>
      </c>
      <c r="D435" t="s">
        <v>289</v>
      </c>
      <c r="E435" t="s">
        <v>73</v>
      </c>
      <c r="F435" t="s">
        <v>74</v>
      </c>
      <c r="G435">
        <v>241404</v>
      </c>
      <c r="H435" t="s">
        <v>74</v>
      </c>
      <c r="I435" t="s">
        <v>75</v>
      </c>
      <c r="J435" t="s">
        <v>74</v>
      </c>
      <c r="K435" t="s">
        <v>2053</v>
      </c>
      <c r="L435" t="s">
        <v>77</v>
      </c>
      <c r="M435" t="s">
        <v>78</v>
      </c>
      <c r="N435" t="s">
        <v>1570</v>
      </c>
      <c r="O435" t="s">
        <v>1571</v>
      </c>
      <c r="P435" t="s">
        <v>1954</v>
      </c>
      <c r="Z435">
        <v>2</v>
      </c>
      <c r="AF435" t="s">
        <v>339</v>
      </c>
      <c r="AG435" t="s">
        <v>296</v>
      </c>
      <c r="AH435" t="s">
        <v>339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0.3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375.4</v>
      </c>
      <c r="BE435">
        <v>0</v>
      </c>
      <c r="BF435">
        <v>80</v>
      </c>
      <c r="BG435">
        <v>0</v>
      </c>
      <c r="BH435">
        <v>0</v>
      </c>
      <c r="BI435">
        <v>16</v>
      </c>
      <c r="BJ435">
        <v>0</v>
      </c>
      <c r="BK435">
        <v>0</v>
      </c>
      <c r="BL435">
        <v>0</v>
      </c>
      <c r="BM435">
        <v>0</v>
      </c>
      <c r="BN435">
        <v>471.7</v>
      </c>
      <c r="BO435">
        <v>75.47</v>
      </c>
      <c r="BP435">
        <v>18.87</v>
      </c>
      <c r="BQ435">
        <f t="shared" si="6"/>
        <v>528.29999999999995</v>
      </c>
      <c r="BR435" t="s">
        <v>1570</v>
      </c>
    </row>
    <row r="436" spans="1:70">
      <c r="A436" t="s">
        <v>2054</v>
      </c>
      <c r="B436" t="s">
        <v>2055</v>
      </c>
      <c r="C436" t="s">
        <v>71</v>
      </c>
      <c r="D436" t="s">
        <v>289</v>
      </c>
      <c r="E436" t="s">
        <v>73</v>
      </c>
      <c r="F436" t="s">
        <v>74</v>
      </c>
      <c r="G436">
        <v>241322</v>
      </c>
      <c r="H436" t="s">
        <v>74</v>
      </c>
      <c r="I436" t="s">
        <v>75</v>
      </c>
      <c r="J436" t="s">
        <v>74</v>
      </c>
      <c r="K436" t="s">
        <v>2056</v>
      </c>
      <c r="L436" t="s">
        <v>77</v>
      </c>
      <c r="M436" t="s">
        <v>78</v>
      </c>
      <c r="N436" t="s">
        <v>330</v>
      </c>
      <c r="O436" t="s">
        <v>331</v>
      </c>
      <c r="P436" t="s">
        <v>1954</v>
      </c>
      <c r="X436">
        <v>9</v>
      </c>
      <c r="AF436" t="s">
        <v>407</v>
      </c>
      <c r="AG436" t="s">
        <v>296</v>
      </c>
      <c r="AH436" t="s">
        <v>407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1.35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415.71</v>
      </c>
      <c r="BE436">
        <v>0</v>
      </c>
      <c r="BF436">
        <v>360</v>
      </c>
      <c r="BG436">
        <v>0</v>
      </c>
      <c r="BH436">
        <v>0</v>
      </c>
      <c r="BI436">
        <v>72</v>
      </c>
      <c r="BJ436">
        <v>0</v>
      </c>
      <c r="BK436">
        <v>0</v>
      </c>
      <c r="BL436">
        <v>0</v>
      </c>
      <c r="BM436">
        <v>0</v>
      </c>
      <c r="BN436">
        <v>849.06</v>
      </c>
      <c r="BO436">
        <v>135.85</v>
      </c>
      <c r="BP436">
        <v>33.96</v>
      </c>
      <c r="BQ436">
        <f t="shared" si="6"/>
        <v>950.94999999999993</v>
      </c>
      <c r="BR436" t="s">
        <v>332</v>
      </c>
    </row>
    <row r="437" spans="1:70">
      <c r="A437" t="s">
        <v>2057</v>
      </c>
      <c r="B437" t="s">
        <v>2058</v>
      </c>
      <c r="C437" t="s">
        <v>71</v>
      </c>
      <c r="D437" t="s">
        <v>289</v>
      </c>
      <c r="E437" t="s">
        <v>73</v>
      </c>
      <c r="F437" t="s">
        <v>74</v>
      </c>
      <c r="G437">
        <v>241321</v>
      </c>
      <c r="H437" t="s">
        <v>74</v>
      </c>
      <c r="I437" t="s">
        <v>75</v>
      </c>
      <c r="J437" t="s">
        <v>74</v>
      </c>
      <c r="K437" t="s">
        <v>2059</v>
      </c>
      <c r="L437" t="s">
        <v>77</v>
      </c>
      <c r="M437" t="s">
        <v>78</v>
      </c>
      <c r="N437" t="s">
        <v>499</v>
      </c>
      <c r="O437" t="s">
        <v>2060</v>
      </c>
      <c r="P437" t="s">
        <v>1954</v>
      </c>
      <c r="X437">
        <v>6</v>
      </c>
      <c r="AF437" t="s">
        <v>400</v>
      </c>
      <c r="AG437" t="s">
        <v>296</v>
      </c>
      <c r="AH437" t="s">
        <v>400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0.9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277.14</v>
      </c>
      <c r="BE437">
        <v>0</v>
      </c>
      <c r="BF437">
        <v>240</v>
      </c>
      <c r="BG437">
        <v>0</v>
      </c>
      <c r="BH437">
        <v>0</v>
      </c>
      <c r="BI437">
        <v>48</v>
      </c>
      <c r="BJ437">
        <v>0</v>
      </c>
      <c r="BK437">
        <v>0</v>
      </c>
      <c r="BL437">
        <v>0</v>
      </c>
      <c r="BM437">
        <v>0</v>
      </c>
      <c r="BN437">
        <v>566.04</v>
      </c>
      <c r="BO437">
        <v>90.56</v>
      </c>
      <c r="BP437">
        <v>22.65</v>
      </c>
      <c r="BQ437">
        <f t="shared" si="6"/>
        <v>633.94999999999993</v>
      </c>
      <c r="BR437" t="s">
        <v>501</v>
      </c>
    </row>
    <row r="438" spans="1:70">
      <c r="A438" t="s">
        <v>2061</v>
      </c>
      <c r="B438" t="s">
        <v>2062</v>
      </c>
      <c r="C438" t="s">
        <v>71</v>
      </c>
      <c r="D438" t="s">
        <v>289</v>
      </c>
      <c r="E438" t="s">
        <v>73</v>
      </c>
      <c r="F438" t="s">
        <v>74</v>
      </c>
      <c r="G438">
        <v>241316</v>
      </c>
      <c r="H438" t="s">
        <v>74</v>
      </c>
      <c r="I438" t="s">
        <v>75</v>
      </c>
      <c r="J438" t="s">
        <v>74</v>
      </c>
      <c r="K438" t="s">
        <v>2063</v>
      </c>
      <c r="L438" t="s">
        <v>77</v>
      </c>
      <c r="M438" t="s">
        <v>78</v>
      </c>
      <c r="N438" t="s">
        <v>438</v>
      </c>
      <c r="O438" t="s">
        <v>2064</v>
      </c>
      <c r="P438" t="s">
        <v>1954</v>
      </c>
      <c r="X438">
        <v>10</v>
      </c>
      <c r="AF438" t="s">
        <v>372</v>
      </c>
      <c r="AG438" t="s">
        <v>296</v>
      </c>
      <c r="AH438" t="s">
        <v>372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1.5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154.5</v>
      </c>
      <c r="BE438">
        <v>0</v>
      </c>
      <c r="BF438">
        <v>400</v>
      </c>
      <c r="BG438">
        <v>0</v>
      </c>
      <c r="BH438">
        <v>0</v>
      </c>
      <c r="BI438">
        <v>80</v>
      </c>
      <c r="BJ438">
        <v>0</v>
      </c>
      <c r="BK438">
        <v>0</v>
      </c>
      <c r="BL438">
        <v>0</v>
      </c>
      <c r="BM438">
        <v>0</v>
      </c>
      <c r="BN438">
        <v>636</v>
      </c>
      <c r="BO438">
        <v>101.76</v>
      </c>
      <c r="BP438">
        <v>25.44</v>
      </c>
      <c r="BQ438">
        <f t="shared" si="6"/>
        <v>712.31999999999994</v>
      </c>
      <c r="BR438" t="s">
        <v>440</v>
      </c>
    </row>
    <row r="439" spans="1:70">
      <c r="A439" t="s">
        <v>2065</v>
      </c>
      <c r="B439" t="s">
        <v>2066</v>
      </c>
      <c r="C439" t="s">
        <v>71</v>
      </c>
      <c r="D439" t="s">
        <v>289</v>
      </c>
      <c r="E439" t="s">
        <v>73</v>
      </c>
      <c r="F439" t="s">
        <v>74</v>
      </c>
      <c r="G439">
        <v>241299</v>
      </c>
      <c r="H439" t="s">
        <v>74</v>
      </c>
      <c r="I439" t="s">
        <v>75</v>
      </c>
      <c r="J439" t="s">
        <v>74</v>
      </c>
      <c r="K439" t="s">
        <v>2067</v>
      </c>
      <c r="L439" t="s">
        <v>77</v>
      </c>
      <c r="M439" t="s">
        <v>78</v>
      </c>
      <c r="N439" t="s">
        <v>137</v>
      </c>
      <c r="O439" t="s">
        <v>933</v>
      </c>
      <c r="P439" t="s">
        <v>1954</v>
      </c>
      <c r="X439">
        <v>10</v>
      </c>
      <c r="AF439" t="s">
        <v>372</v>
      </c>
      <c r="AG439" t="s">
        <v>296</v>
      </c>
      <c r="AH439" t="s">
        <v>372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1.5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461.9</v>
      </c>
      <c r="BE439">
        <v>0</v>
      </c>
      <c r="BF439">
        <v>400</v>
      </c>
      <c r="BG439">
        <v>0</v>
      </c>
      <c r="BH439">
        <v>0</v>
      </c>
      <c r="BI439">
        <v>80</v>
      </c>
      <c r="BJ439">
        <v>0</v>
      </c>
      <c r="BK439">
        <v>0</v>
      </c>
      <c r="BL439">
        <v>0</v>
      </c>
      <c r="BM439">
        <v>0</v>
      </c>
      <c r="BN439">
        <v>943.4</v>
      </c>
      <c r="BO439">
        <v>150.94</v>
      </c>
      <c r="BP439">
        <v>37.74</v>
      </c>
      <c r="BQ439">
        <f t="shared" si="6"/>
        <v>1056.5999999999999</v>
      </c>
      <c r="BR439" t="s">
        <v>141</v>
      </c>
    </row>
    <row r="440" spans="1:70">
      <c r="A440" t="s">
        <v>2068</v>
      </c>
      <c r="B440" t="s">
        <v>2069</v>
      </c>
      <c r="C440" t="s">
        <v>71</v>
      </c>
      <c r="D440" t="s">
        <v>289</v>
      </c>
      <c r="E440" t="s">
        <v>73</v>
      </c>
      <c r="F440" t="s">
        <v>74</v>
      </c>
      <c r="G440">
        <v>241325</v>
      </c>
      <c r="H440" t="s">
        <v>74</v>
      </c>
      <c r="I440" t="s">
        <v>75</v>
      </c>
      <c r="J440" t="s">
        <v>74</v>
      </c>
      <c r="K440" t="s">
        <v>2070</v>
      </c>
      <c r="L440" t="s">
        <v>77</v>
      </c>
      <c r="M440" t="s">
        <v>78</v>
      </c>
      <c r="N440" t="s">
        <v>1570</v>
      </c>
      <c r="O440" t="s">
        <v>2071</v>
      </c>
      <c r="P440" t="s">
        <v>1954</v>
      </c>
      <c r="T440">
        <v>2</v>
      </c>
      <c r="AF440" t="s">
        <v>808</v>
      </c>
      <c r="AG440" t="s">
        <v>296</v>
      </c>
      <c r="AH440" t="s">
        <v>808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72.92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4587.6400000000003</v>
      </c>
      <c r="BE440">
        <v>0</v>
      </c>
      <c r="BF440">
        <v>916.16</v>
      </c>
      <c r="BG440">
        <v>0</v>
      </c>
      <c r="BH440">
        <v>0</v>
      </c>
      <c r="BI440">
        <v>843.24</v>
      </c>
      <c r="BJ440">
        <v>0</v>
      </c>
      <c r="BK440">
        <v>0</v>
      </c>
      <c r="BL440">
        <v>0</v>
      </c>
      <c r="BM440">
        <v>0</v>
      </c>
      <c r="BN440">
        <v>6419.96</v>
      </c>
      <c r="BO440">
        <v>1027.2</v>
      </c>
      <c r="BP440">
        <v>256.81</v>
      </c>
      <c r="BQ440">
        <f t="shared" si="6"/>
        <v>7190.3499999999995</v>
      </c>
      <c r="BR440" t="s">
        <v>1570</v>
      </c>
    </row>
    <row r="441" spans="1:70">
      <c r="A441" t="s">
        <v>2072</v>
      </c>
      <c r="B441" t="s">
        <v>2073</v>
      </c>
      <c r="C441" t="s">
        <v>71</v>
      </c>
      <c r="D441" t="s">
        <v>289</v>
      </c>
      <c r="E441" t="s">
        <v>73</v>
      </c>
      <c r="F441" t="s">
        <v>74</v>
      </c>
      <c r="G441">
        <v>241327</v>
      </c>
      <c r="H441" t="s">
        <v>74</v>
      </c>
      <c r="I441" t="s">
        <v>75</v>
      </c>
      <c r="K441" t="s">
        <v>2074</v>
      </c>
      <c r="L441" t="s">
        <v>77</v>
      </c>
      <c r="M441" t="s">
        <v>78</v>
      </c>
      <c r="N441" t="s">
        <v>674</v>
      </c>
      <c r="O441" t="s">
        <v>969</v>
      </c>
      <c r="P441" t="s">
        <v>1954</v>
      </c>
      <c r="V441">
        <v>1</v>
      </c>
      <c r="AF441" t="s">
        <v>295</v>
      </c>
      <c r="AG441" t="s">
        <v>296</v>
      </c>
      <c r="AH441" t="s">
        <v>295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0.15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375.85</v>
      </c>
      <c r="BE441">
        <v>0</v>
      </c>
      <c r="BF441">
        <v>40</v>
      </c>
      <c r="BG441">
        <v>0</v>
      </c>
      <c r="BH441">
        <v>0</v>
      </c>
      <c r="BI441">
        <v>8</v>
      </c>
      <c r="BJ441">
        <v>0</v>
      </c>
      <c r="BK441">
        <v>0</v>
      </c>
      <c r="BL441">
        <v>0</v>
      </c>
      <c r="BM441">
        <v>0</v>
      </c>
      <c r="BN441">
        <v>424</v>
      </c>
      <c r="BO441">
        <v>67.84</v>
      </c>
      <c r="BP441">
        <v>16.96</v>
      </c>
      <c r="BQ441">
        <f t="shared" si="6"/>
        <v>474.88000000000005</v>
      </c>
      <c r="BR441" t="s">
        <v>674</v>
      </c>
    </row>
    <row r="442" spans="1:70">
      <c r="A442" t="s">
        <v>2075</v>
      </c>
      <c r="B442" t="s">
        <v>2076</v>
      </c>
      <c r="C442" t="s">
        <v>71</v>
      </c>
      <c r="D442" t="s">
        <v>289</v>
      </c>
      <c r="E442" t="s">
        <v>73</v>
      </c>
      <c r="F442" t="s">
        <v>74</v>
      </c>
      <c r="G442">
        <v>241387</v>
      </c>
      <c r="H442" t="s">
        <v>74</v>
      </c>
      <c r="I442" t="s">
        <v>75</v>
      </c>
      <c r="J442" t="s">
        <v>74</v>
      </c>
      <c r="K442" t="s">
        <v>2077</v>
      </c>
      <c r="L442" t="s">
        <v>77</v>
      </c>
      <c r="M442" t="s">
        <v>78</v>
      </c>
      <c r="N442" t="s">
        <v>330</v>
      </c>
      <c r="O442" t="s">
        <v>2078</v>
      </c>
      <c r="P442" t="s">
        <v>193</v>
      </c>
      <c r="X442">
        <v>12</v>
      </c>
      <c r="AF442" t="s">
        <v>379</v>
      </c>
      <c r="AG442" t="s">
        <v>296</v>
      </c>
      <c r="AH442" t="s">
        <v>379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1.8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554.28</v>
      </c>
      <c r="BE442">
        <v>0</v>
      </c>
      <c r="BF442">
        <v>480</v>
      </c>
      <c r="BG442">
        <v>0</v>
      </c>
      <c r="BH442">
        <v>0</v>
      </c>
      <c r="BI442">
        <v>96</v>
      </c>
      <c r="BJ442">
        <v>0</v>
      </c>
      <c r="BK442">
        <v>0</v>
      </c>
      <c r="BL442">
        <v>0</v>
      </c>
      <c r="BM442">
        <v>0</v>
      </c>
      <c r="BN442">
        <v>1132.08</v>
      </c>
      <c r="BO442">
        <v>181.13</v>
      </c>
      <c r="BP442">
        <v>45.28</v>
      </c>
      <c r="BQ442">
        <f t="shared" si="6"/>
        <v>1267.93</v>
      </c>
      <c r="BR442" t="s">
        <v>332</v>
      </c>
    </row>
    <row r="443" spans="1:70">
      <c r="A443" t="s">
        <v>2079</v>
      </c>
      <c r="B443" t="s">
        <v>2080</v>
      </c>
      <c r="C443" t="s">
        <v>71</v>
      </c>
      <c r="D443" t="s">
        <v>289</v>
      </c>
      <c r="E443" t="s">
        <v>73</v>
      </c>
      <c r="F443" t="s">
        <v>74</v>
      </c>
      <c r="G443">
        <v>241373</v>
      </c>
      <c r="H443" t="s">
        <v>74</v>
      </c>
      <c r="I443" t="s">
        <v>75</v>
      </c>
      <c r="J443" t="s">
        <v>74</v>
      </c>
      <c r="K443" t="s">
        <v>2081</v>
      </c>
      <c r="L443" t="s">
        <v>77</v>
      </c>
      <c r="M443" t="s">
        <v>78</v>
      </c>
      <c r="N443" t="s">
        <v>2082</v>
      </c>
      <c r="O443" t="s">
        <v>2083</v>
      </c>
      <c r="P443" t="s">
        <v>193</v>
      </c>
      <c r="X443">
        <v>17</v>
      </c>
      <c r="AF443" t="s">
        <v>464</v>
      </c>
      <c r="AG443" t="s">
        <v>296</v>
      </c>
      <c r="AH443" t="s">
        <v>464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2.5499999999999998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262.64999999999998</v>
      </c>
      <c r="BE443">
        <v>0</v>
      </c>
      <c r="BF443">
        <v>680</v>
      </c>
      <c r="BG443">
        <v>0</v>
      </c>
      <c r="BH443">
        <v>0</v>
      </c>
      <c r="BI443">
        <v>136</v>
      </c>
      <c r="BJ443">
        <v>0</v>
      </c>
      <c r="BK443">
        <v>0</v>
      </c>
      <c r="BL443">
        <v>0</v>
      </c>
      <c r="BM443">
        <v>0</v>
      </c>
      <c r="BN443">
        <v>1081.2</v>
      </c>
      <c r="BO443">
        <v>172.99</v>
      </c>
      <c r="BP443">
        <v>43.25</v>
      </c>
      <c r="BQ443">
        <f t="shared" si="6"/>
        <v>1210.94</v>
      </c>
      <c r="BR443" t="s">
        <v>2084</v>
      </c>
    </row>
    <row r="444" spans="1:70">
      <c r="A444" t="s">
        <v>2085</v>
      </c>
      <c r="B444" t="s">
        <v>2086</v>
      </c>
      <c r="C444" t="s">
        <v>71</v>
      </c>
      <c r="D444" t="s">
        <v>289</v>
      </c>
      <c r="E444" t="s">
        <v>73</v>
      </c>
      <c r="F444" t="s">
        <v>74</v>
      </c>
      <c r="G444">
        <v>241379</v>
      </c>
      <c r="H444" t="s">
        <v>74</v>
      </c>
      <c r="I444" t="s">
        <v>75</v>
      </c>
      <c r="K444" t="s">
        <v>2087</v>
      </c>
      <c r="L444" t="s">
        <v>77</v>
      </c>
      <c r="M444" t="s">
        <v>78</v>
      </c>
      <c r="N444" t="s">
        <v>318</v>
      </c>
      <c r="O444" t="s">
        <v>319</v>
      </c>
      <c r="P444" t="s">
        <v>193</v>
      </c>
      <c r="X444">
        <v>10</v>
      </c>
      <c r="AF444" t="s">
        <v>372</v>
      </c>
      <c r="AG444" t="s">
        <v>296</v>
      </c>
      <c r="AH444" t="s">
        <v>372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1.5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461.9</v>
      </c>
      <c r="BE444">
        <v>0</v>
      </c>
      <c r="BF444">
        <v>400</v>
      </c>
      <c r="BG444">
        <v>0</v>
      </c>
      <c r="BH444">
        <v>0</v>
      </c>
      <c r="BI444">
        <v>80</v>
      </c>
      <c r="BJ444">
        <v>0</v>
      </c>
      <c r="BK444">
        <v>0</v>
      </c>
      <c r="BL444">
        <v>0</v>
      </c>
      <c r="BM444">
        <v>0</v>
      </c>
      <c r="BN444">
        <v>943.4</v>
      </c>
      <c r="BO444">
        <v>150.94</v>
      </c>
      <c r="BP444">
        <v>37.74</v>
      </c>
      <c r="BQ444">
        <f t="shared" si="6"/>
        <v>1056.5999999999999</v>
      </c>
      <c r="BR444" t="s">
        <v>320</v>
      </c>
    </row>
    <row r="445" spans="1:70">
      <c r="A445" t="s">
        <v>2088</v>
      </c>
      <c r="B445" t="s">
        <v>2089</v>
      </c>
      <c r="C445" t="s">
        <v>71</v>
      </c>
      <c r="D445" t="s">
        <v>289</v>
      </c>
      <c r="E445" t="s">
        <v>73</v>
      </c>
      <c r="F445" t="s">
        <v>74</v>
      </c>
      <c r="G445" t="s">
        <v>2090</v>
      </c>
      <c r="H445" t="s">
        <v>74</v>
      </c>
      <c r="I445" t="s">
        <v>75</v>
      </c>
      <c r="J445" t="s">
        <v>74</v>
      </c>
      <c r="K445" t="s">
        <v>2091</v>
      </c>
      <c r="L445" t="s">
        <v>77</v>
      </c>
      <c r="M445" t="s">
        <v>78</v>
      </c>
      <c r="N445" t="s">
        <v>307</v>
      </c>
      <c r="O445" t="s">
        <v>2092</v>
      </c>
      <c r="P445" t="s">
        <v>193</v>
      </c>
      <c r="X445">
        <v>9</v>
      </c>
      <c r="AF445" t="s">
        <v>407</v>
      </c>
      <c r="AG445" t="s">
        <v>296</v>
      </c>
      <c r="AH445" t="s">
        <v>407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1.35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139.05000000000001</v>
      </c>
      <c r="BE445">
        <v>0</v>
      </c>
      <c r="BF445">
        <v>360</v>
      </c>
      <c r="BG445">
        <v>0</v>
      </c>
      <c r="BH445">
        <v>0</v>
      </c>
      <c r="BI445">
        <v>72</v>
      </c>
      <c r="BJ445">
        <v>0</v>
      </c>
      <c r="BK445">
        <v>0</v>
      </c>
      <c r="BL445">
        <v>0</v>
      </c>
      <c r="BM445">
        <v>0</v>
      </c>
      <c r="BN445">
        <v>572.4</v>
      </c>
      <c r="BO445">
        <v>91.59</v>
      </c>
      <c r="BP445">
        <v>22.89</v>
      </c>
      <c r="BQ445">
        <f t="shared" si="6"/>
        <v>641.1</v>
      </c>
      <c r="BR445" t="s">
        <v>294</v>
      </c>
    </row>
    <row r="446" spans="1:70">
      <c r="A446" t="s">
        <v>2093</v>
      </c>
      <c r="B446" t="s">
        <v>2094</v>
      </c>
      <c r="C446" t="s">
        <v>71</v>
      </c>
      <c r="D446" t="s">
        <v>289</v>
      </c>
      <c r="E446" t="s">
        <v>73</v>
      </c>
      <c r="F446" t="s">
        <v>74</v>
      </c>
      <c r="G446">
        <v>241386</v>
      </c>
      <c r="H446" t="s">
        <v>74</v>
      </c>
      <c r="I446" t="s">
        <v>75</v>
      </c>
      <c r="J446" t="s">
        <v>74</v>
      </c>
      <c r="K446" t="s">
        <v>2095</v>
      </c>
      <c r="L446" t="s">
        <v>77</v>
      </c>
      <c r="M446" t="s">
        <v>78</v>
      </c>
      <c r="N446" t="s">
        <v>757</v>
      </c>
      <c r="O446" t="s">
        <v>758</v>
      </c>
      <c r="P446" t="s">
        <v>193</v>
      </c>
      <c r="X446">
        <v>6</v>
      </c>
      <c r="AF446" t="s">
        <v>400</v>
      </c>
      <c r="AG446" t="s">
        <v>296</v>
      </c>
      <c r="AH446" t="s">
        <v>400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0.9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92.7</v>
      </c>
      <c r="BE446">
        <v>0</v>
      </c>
      <c r="BF446">
        <v>240</v>
      </c>
      <c r="BG446">
        <v>0</v>
      </c>
      <c r="BH446">
        <v>0</v>
      </c>
      <c r="BI446">
        <v>48</v>
      </c>
      <c r="BJ446">
        <v>0</v>
      </c>
      <c r="BK446">
        <v>0</v>
      </c>
      <c r="BL446">
        <v>0</v>
      </c>
      <c r="BM446">
        <v>0</v>
      </c>
      <c r="BN446">
        <v>381.6</v>
      </c>
      <c r="BO446">
        <v>61.05</v>
      </c>
      <c r="BP446">
        <v>15.27</v>
      </c>
      <c r="BQ446">
        <f t="shared" si="6"/>
        <v>427.38000000000005</v>
      </c>
      <c r="BR446" t="s">
        <v>757</v>
      </c>
    </row>
    <row r="447" spans="1:70">
      <c r="A447" t="s">
        <v>2096</v>
      </c>
      <c r="B447" t="s">
        <v>2097</v>
      </c>
      <c r="C447" t="s">
        <v>71</v>
      </c>
      <c r="D447" t="s">
        <v>289</v>
      </c>
      <c r="E447" t="s">
        <v>73</v>
      </c>
      <c r="F447" t="s">
        <v>74</v>
      </c>
      <c r="G447">
        <v>241384</v>
      </c>
      <c r="H447" t="s">
        <v>74</v>
      </c>
      <c r="I447" t="s">
        <v>75</v>
      </c>
      <c r="J447" t="s">
        <v>74</v>
      </c>
      <c r="K447" t="s">
        <v>2098</v>
      </c>
      <c r="L447" t="s">
        <v>77</v>
      </c>
      <c r="M447" t="s">
        <v>78</v>
      </c>
      <c r="N447" t="s">
        <v>137</v>
      </c>
      <c r="O447" t="s">
        <v>610</v>
      </c>
      <c r="P447" t="s">
        <v>193</v>
      </c>
      <c r="X447">
        <v>5</v>
      </c>
      <c r="AF447" t="s">
        <v>333</v>
      </c>
      <c r="AG447" t="s">
        <v>296</v>
      </c>
      <c r="AH447" t="s">
        <v>333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0.75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230.95</v>
      </c>
      <c r="BE447">
        <v>0</v>
      </c>
      <c r="BF447">
        <v>200</v>
      </c>
      <c r="BG447">
        <v>0</v>
      </c>
      <c r="BH447">
        <v>0</v>
      </c>
      <c r="BI447">
        <v>40</v>
      </c>
      <c r="BJ447">
        <v>0</v>
      </c>
      <c r="BK447">
        <v>0</v>
      </c>
      <c r="BL447">
        <v>0</v>
      </c>
      <c r="BM447">
        <v>0</v>
      </c>
      <c r="BN447">
        <v>471.7</v>
      </c>
      <c r="BO447">
        <v>75.47</v>
      </c>
      <c r="BP447">
        <v>18.87</v>
      </c>
      <c r="BQ447">
        <f t="shared" si="6"/>
        <v>528.29999999999995</v>
      </c>
      <c r="BR447" t="s">
        <v>141</v>
      </c>
    </row>
    <row r="448" spans="1:70">
      <c r="A448" t="s">
        <v>2099</v>
      </c>
      <c r="B448" t="s">
        <v>2100</v>
      </c>
      <c r="C448" t="s">
        <v>71</v>
      </c>
      <c r="D448" t="s">
        <v>289</v>
      </c>
      <c r="E448" t="s">
        <v>73</v>
      </c>
      <c r="F448" t="s">
        <v>74</v>
      </c>
      <c r="G448">
        <v>241389</v>
      </c>
      <c r="H448" t="s">
        <v>74</v>
      </c>
      <c r="I448" t="s">
        <v>75</v>
      </c>
      <c r="K448" t="s">
        <v>2101</v>
      </c>
      <c r="L448" t="s">
        <v>77</v>
      </c>
      <c r="M448" t="s">
        <v>78</v>
      </c>
      <c r="N448" t="s">
        <v>404</v>
      </c>
      <c r="O448" t="s">
        <v>2102</v>
      </c>
      <c r="P448" t="s">
        <v>193</v>
      </c>
      <c r="X448">
        <v>16</v>
      </c>
      <c r="AF448" t="s">
        <v>482</v>
      </c>
      <c r="AG448" t="s">
        <v>296</v>
      </c>
      <c r="AH448" t="s">
        <v>482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2.4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247.2</v>
      </c>
      <c r="BE448">
        <v>0</v>
      </c>
      <c r="BF448">
        <v>640</v>
      </c>
      <c r="BG448">
        <v>0</v>
      </c>
      <c r="BH448">
        <v>0</v>
      </c>
      <c r="BI448">
        <v>128</v>
      </c>
      <c r="BJ448">
        <v>0</v>
      </c>
      <c r="BK448">
        <v>0</v>
      </c>
      <c r="BL448">
        <v>0</v>
      </c>
      <c r="BM448">
        <v>0</v>
      </c>
      <c r="BN448">
        <v>1017.6</v>
      </c>
      <c r="BO448">
        <v>162.81</v>
      </c>
      <c r="BP448">
        <v>40.71</v>
      </c>
      <c r="BQ448">
        <f t="shared" si="6"/>
        <v>1139.7</v>
      </c>
      <c r="BR448" t="s">
        <v>406</v>
      </c>
    </row>
    <row r="449" spans="1:70">
      <c r="A449" t="s">
        <v>2103</v>
      </c>
      <c r="B449" t="s">
        <v>2104</v>
      </c>
      <c r="C449" t="s">
        <v>71</v>
      </c>
      <c r="D449" t="s">
        <v>289</v>
      </c>
      <c r="E449" t="s">
        <v>73</v>
      </c>
      <c r="F449" t="s">
        <v>74</v>
      </c>
      <c r="G449">
        <v>241381</v>
      </c>
      <c r="H449" t="s">
        <v>74</v>
      </c>
      <c r="I449" t="s">
        <v>75</v>
      </c>
      <c r="J449" t="s">
        <v>74</v>
      </c>
      <c r="K449" t="s">
        <v>2105</v>
      </c>
      <c r="L449" t="s">
        <v>77</v>
      </c>
      <c r="M449" t="s">
        <v>78</v>
      </c>
      <c r="N449" t="s">
        <v>499</v>
      </c>
      <c r="O449" t="s">
        <v>1415</v>
      </c>
      <c r="P449" t="s">
        <v>193</v>
      </c>
      <c r="X449">
        <v>7</v>
      </c>
      <c r="AF449" t="s">
        <v>345</v>
      </c>
      <c r="AG449" t="s">
        <v>296</v>
      </c>
      <c r="AH449" t="s">
        <v>345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1.05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323.33</v>
      </c>
      <c r="BE449">
        <v>0</v>
      </c>
      <c r="BF449">
        <v>280</v>
      </c>
      <c r="BG449">
        <v>0</v>
      </c>
      <c r="BH449">
        <v>0</v>
      </c>
      <c r="BI449">
        <v>56</v>
      </c>
      <c r="BJ449">
        <v>0</v>
      </c>
      <c r="BK449">
        <v>0</v>
      </c>
      <c r="BL449">
        <v>0</v>
      </c>
      <c r="BM449">
        <v>0</v>
      </c>
      <c r="BN449">
        <v>660.38</v>
      </c>
      <c r="BO449">
        <v>105.66</v>
      </c>
      <c r="BP449">
        <v>26.41</v>
      </c>
      <c r="BQ449">
        <f t="shared" si="6"/>
        <v>739.63</v>
      </c>
      <c r="BR449" t="s">
        <v>501</v>
      </c>
    </row>
    <row r="450" spans="1:70">
      <c r="A450" t="s">
        <v>2106</v>
      </c>
      <c r="B450" t="s">
        <v>2107</v>
      </c>
      <c r="C450" t="s">
        <v>71</v>
      </c>
      <c r="D450" t="s">
        <v>289</v>
      </c>
      <c r="E450" t="s">
        <v>73</v>
      </c>
      <c r="F450" t="s">
        <v>74</v>
      </c>
      <c r="G450">
        <v>241386</v>
      </c>
      <c r="H450" t="s">
        <v>74</v>
      </c>
      <c r="I450" t="s">
        <v>75</v>
      </c>
      <c r="J450" t="s">
        <v>74</v>
      </c>
      <c r="K450" t="s">
        <v>2095</v>
      </c>
      <c r="L450" t="s">
        <v>77</v>
      </c>
      <c r="M450" t="s">
        <v>78</v>
      </c>
      <c r="N450" t="s">
        <v>1110</v>
      </c>
      <c r="O450" t="s">
        <v>1294</v>
      </c>
      <c r="P450" t="s">
        <v>193</v>
      </c>
      <c r="X450">
        <v>10</v>
      </c>
      <c r="AF450" t="s">
        <v>372</v>
      </c>
      <c r="AG450" t="s">
        <v>296</v>
      </c>
      <c r="AH450" t="s">
        <v>372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1.5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154.5</v>
      </c>
      <c r="BE450">
        <v>0</v>
      </c>
      <c r="BF450">
        <v>400</v>
      </c>
      <c r="BG450">
        <v>0</v>
      </c>
      <c r="BH450">
        <v>0</v>
      </c>
      <c r="BI450">
        <v>80</v>
      </c>
      <c r="BJ450">
        <v>0</v>
      </c>
      <c r="BK450">
        <v>0</v>
      </c>
      <c r="BL450">
        <v>0</v>
      </c>
      <c r="BM450">
        <v>0</v>
      </c>
      <c r="BN450">
        <v>636</v>
      </c>
      <c r="BO450">
        <v>101.76</v>
      </c>
      <c r="BP450">
        <v>25.44</v>
      </c>
      <c r="BQ450">
        <f t="shared" ref="BQ450:BQ513" si="7">(BN450+BO450-BP450)</f>
        <v>712.31999999999994</v>
      </c>
      <c r="BR450" t="s">
        <v>371</v>
      </c>
    </row>
    <row r="451" spans="1:70">
      <c r="A451" t="s">
        <v>2108</v>
      </c>
      <c r="B451" t="s">
        <v>2109</v>
      </c>
      <c r="C451" t="s">
        <v>71</v>
      </c>
      <c r="D451" t="s">
        <v>289</v>
      </c>
      <c r="E451" t="s">
        <v>73</v>
      </c>
      <c r="F451" t="s">
        <v>74</v>
      </c>
      <c r="G451">
        <v>241380</v>
      </c>
      <c r="H451" t="s">
        <v>74</v>
      </c>
      <c r="I451" t="s">
        <v>75</v>
      </c>
      <c r="J451" t="s">
        <v>74</v>
      </c>
      <c r="K451" t="s">
        <v>2110</v>
      </c>
      <c r="L451" t="s">
        <v>77</v>
      </c>
      <c r="M451" t="s">
        <v>78</v>
      </c>
      <c r="N451" t="s">
        <v>2111</v>
      </c>
      <c r="O451" t="s">
        <v>2112</v>
      </c>
      <c r="P451" t="s">
        <v>193</v>
      </c>
      <c r="X451">
        <v>29</v>
      </c>
      <c r="AF451" t="s">
        <v>574</v>
      </c>
      <c r="AG451" t="s">
        <v>296</v>
      </c>
      <c r="AH451" t="s">
        <v>574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4.3499999999999996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1339.51</v>
      </c>
      <c r="BE451">
        <v>0</v>
      </c>
      <c r="BF451">
        <v>1160</v>
      </c>
      <c r="BG451">
        <v>0</v>
      </c>
      <c r="BH451">
        <v>0</v>
      </c>
      <c r="BI451">
        <v>232</v>
      </c>
      <c r="BJ451">
        <v>0</v>
      </c>
      <c r="BK451">
        <v>0</v>
      </c>
      <c r="BL451">
        <v>0</v>
      </c>
      <c r="BM451">
        <v>0</v>
      </c>
      <c r="BN451">
        <v>2735.86</v>
      </c>
      <c r="BO451">
        <v>437.74</v>
      </c>
      <c r="BP451">
        <v>109.43</v>
      </c>
      <c r="BQ451">
        <f t="shared" si="7"/>
        <v>3064.1700000000005</v>
      </c>
      <c r="BR451" t="s">
        <v>2113</v>
      </c>
    </row>
    <row r="452" spans="1:70">
      <c r="A452" t="s">
        <v>2114</v>
      </c>
      <c r="B452" t="s">
        <v>2115</v>
      </c>
      <c r="C452" t="s">
        <v>71</v>
      </c>
      <c r="D452" t="s">
        <v>289</v>
      </c>
      <c r="E452" t="s">
        <v>73</v>
      </c>
      <c r="F452" t="s">
        <v>74</v>
      </c>
      <c r="G452" t="s">
        <v>2116</v>
      </c>
      <c r="H452" t="s">
        <v>2117</v>
      </c>
      <c r="I452" t="s">
        <v>75</v>
      </c>
      <c r="J452" t="s">
        <v>74</v>
      </c>
      <c r="K452" t="s">
        <v>2118</v>
      </c>
      <c r="L452" t="s">
        <v>77</v>
      </c>
      <c r="M452" t="s">
        <v>78</v>
      </c>
      <c r="N452" t="s">
        <v>406</v>
      </c>
      <c r="O452" t="s">
        <v>2119</v>
      </c>
      <c r="P452" t="s">
        <v>193</v>
      </c>
      <c r="Z452">
        <v>2</v>
      </c>
      <c r="AF452" t="s">
        <v>339</v>
      </c>
      <c r="AG452" t="s">
        <v>296</v>
      </c>
      <c r="AH452" t="s">
        <v>339</v>
      </c>
      <c r="AJ452">
        <v>0</v>
      </c>
      <c r="AK452">
        <v>2160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0.3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327.7</v>
      </c>
      <c r="BE452">
        <v>0</v>
      </c>
      <c r="BF452">
        <v>80</v>
      </c>
      <c r="BG452">
        <v>0</v>
      </c>
      <c r="BH452">
        <v>2160</v>
      </c>
      <c r="BI452">
        <v>16</v>
      </c>
      <c r="BJ452">
        <v>0</v>
      </c>
      <c r="BK452">
        <v>0</v>
      </c>
      <c r="BL452">
        <v>0</v>
      </c>
      <c r="BM452">
        <v>0</v>
      </c>
      <c r="BN452">
        <v>2584</v>
      </c>
      <c r="BO452">
        <v>413.44</v>
      </c>
      <c r="BP452">
        <v>16.96</v>
      </c>
      <c r="BQ452">
        <f t="shared" si="7"/>
        <v>2980.48</v>
      </c>
      <c r="BR452" t="s">
        <v>406</v>
      </c>
    </row>
    <row r="453" spans="1:70">
      <c r="A453" t="s">
        <v>2120</v>
      </c>
      <c r="B453" t="s">
        <v>2121</v>
      </c>
      <c r="C453" t="s">
        <v>71</v>
      </c>
      <c r="D453" t="s">
        <v>289</v>
      </c>
      <c r="E453" t="s">
        <v>73</v>
      </c>
      <c r="F453" t="s">
        <v>74</v>
      </c>
      <c r="G453">
        <v>241377</v>
      </c>
      <c r="H453" t="s">
        <v>74</v>
      </c>
      <c r="I453" t="s">
        <v>75</v>
      </c>
      <c r="J453" t="s">
        <v>74</v>
      </c>
      <c r="K453" t="s">
        <v>2122</v>
      </c>
      <c r="L453" t="s">
        <v>77</v>
      </c>
      <c r="M453" t="s">
        <v>78</v>
      </c>
      <c r="N453" t="s">
        <v>707</v>
      </c>
      <c r="O453" t="s">
        <v>708</v>
      </c>
      <c r="P453" t="s">
        <v>193</v>
      </c>
      <c r="X453">
        <v>8</v>
      </c>
      <c r="AF453" t="s">
        <v>1006</v>
      </c>
      <c r="AG453" t="s">
        <v>296</v>
      </c>
      <c r="AH453" t="s">
        <v>1006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1.2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123.6</v>
      </c>
      <c r="BE453">
        <v>0</v>
      </c>
      <c r="BF453">
        <v>320</v>
      </c>
      <c r="BG453">
        <v>0</v>
      </c>
      <c r="BH453">
        <v>0</v>
      </c>
      <c r="BI453">
        <v>64</v>
      </c>
      <c r="BJ453">
        <v>0</v>
      </c>
      <c r="BK453">
        <v>0</v>
      </c>
      <c r="BL453">
        <v>0</v>
      </c>
      <c r="BM453">
        <v>0</v>
      </c>
      <c r="BN453">
        <v>508.8</v>
      </c>
      <c r="BO453">
        <v>81.41</v>
      </c>
      <c r="BP453">
        <v>20.350000000000001</v>
      </c>
      <c r="BQ453">
        <f t="shared" si="7"/>
        <v>569.86</v>
      </c>
      <c r="BR453" t="s">
        <v>649</v>
      </c>
    </row>
    <row r="454" spans="1:70">
      <c r="A454" t="s">
        <v>2123</v>
      </c>
      <c r="B454" t="s">
        <v>2124</v>
      </c>
      <c r="C454" t="s">
        <v>71</v>
      </c>
      <c r="D454" t="s">
        <v>289</v>
      </c>
      <c r="E454" t="s">
        <v>73</v>
      </c>
      <c r="F454" t="s">
        <v>74</v>
      </c>
      <c r="G454">
        <v>241382</v>
      </c>
      <c r="H454" t="s">
        <v>74</v>
      </c>
      <c r="I454" t="s">
        <v>75</v>
      </c>
      <c r="J454" t="s">
        <v>74</v>
      </c>
      <c r="K454" t="s">
        <v>2125</v>
      </c>
      <c r="L454" t="s">
        <v>77</v>
      </c>
      <c r="M454" t="s">
        <v>78</v>
      </c>
      <c r="N454" t="s">
        <v>343</v>
      </c>
      <c r="O454" t="s">
        <v>1885</v>
      </c>
      <c r="P454" t="s">
        <v>193</v>
      </c>
      <c r="AD454">
        <v>4</v>
      </c>
      <c r="AF454" t="s">
        <v>326</v>
      </c>
      <c r="AG454" t="s">
        <v>296</v>
      </c>
      <c r="AH454" t="s">
        <v>326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0.6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231.4</v>
      </c>
      <c r="BE454">
        <v>0</v>
      </c>
      <c r="BF454">
        <v>160</v>
      </c>
      <c r="BG454">
        <v>0</v>
      </c>
      <c r="BH454">
        <v>0</v>
      </c>
      <c r="BI454">
        <v>32</v>
      </c>
      <c r="BJ454">
        <v>0</v>
      </c>
      <c r="BK454">
        <v>0</v>
      </c>
      <c r="BL454">
        <v>0</v>
      </c>
      <c r="BM454">
        <v>0</v>
      </c>
      <c r="BN454">
        <v>424</v>
      </c>
      <c r="BO454">
        <v>67.84</v>
      </c>
      <c r="BP454">
        <v>16.96</v>
      </c>
      <c r="BQ454">
        <f t="shared" si="7"/>
        <v>474.88000000000005</v>
      </c>
      <c r="BR454" t="s">
        <v>343</v>
      </c>
    </row>
    <row r="455" spans="1:70">
      <c r="A455" t="s">
        <v>2126</v>
      </c>
      <c r="B455" t="s">
        <v>2127</v>
      </c>
      <c r="C455" t="s">
        <v>71</v>
      </c>
      <c r="D455" t="s">
        <v>289</v>
      </c>
      <c r="E455" t="s">
        <v>73</v>
      </c>
      <c r="F455" t="s">
        <v>74</v>
      </c>
      <c r="G455">
        <v>241490</v>
      </c>
      <c r="H455" t="s">
        <v>74</v>
      </c>
      <c r="I455" t="s">
        <v>75</v>
      </c>
      <c r="J455" t="s">
        <v>74</v>
      </c>
      <c r="K455" t="s">
        <v>2128</v>
      </c>
      <c r="L455" t="s">
        <v>77</v>
      </c>
      <c r="M455" t="s">
        <v>78</v>
      </c>
      <c r="N455" t="s">
        <v>137</v>
      </c>
      <c r="O455" t="s">
        <v>1220</v>
      </c>
      <c r="P455" t="s">
        <v>193</v>
      </c>
      <c r="AB455">
        <v>3</v>
      </c>
      <c r="AF455" t="s">
        <v>314</v>
      </c>
      <c r="AG455" t="s">
        <v>296</v>
      </c>
      <c r="AH455" t="s">
        <v>314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0.45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327.24</v>
      </c>
      <c r="BE455">
        <v>0</v>
      </c>
      <c r="BF455">
        <v>120</v>
      </c>
      <c r="BG455">
        <v>0</v>
      </c>
      <c r="BH455">
        <v>0</v>
      </c>
      <c r="BI455">
        <v>24</v>
      </c>
      <c r="BJ455">
        <v>0</v>
      </c>
      <c r="BK455">
        <v>0</v>
      </c>
      <c r="BL455">
        <v>0</v>
      </c>
      <c r="BM455">
        <v>0</v>
      </c>
      <c r="BN455">
        <v>471.69</v>
      </c>
      <c r="BO455">
        <v>75.47</v>
      </c>
      <c r="BP455">
        <v>18.87</v>
      </c>
      <c r="BQ455">
        <f t="shared" si="7"/>
        <v>528.29</v>
      </c>
      <c r="BR455" t="s">
        <v>141</v>
      </c>
    </row>
    <row r="456" spans="1:70">
      <c r="A456" t="s">
        <v>2129</v>
      </c>
      <c r="B456" t="s">
        <v>2130</v>
      </c>
      <c r="C456" t="s">
        <v>71</v>
      </c>
      <c r="D456" t="s">
        <v>289</v>
      </c>
      <c r="E456" t="s">
        <v>73</v>
      </c>
      <c r="F456" t="s">
        <v>74</v>
      </c>
      <c r="G456">
        <v>241489</v>
      </c>
      <c r="H456" t="s">
        <v>74</v>
      </c>
      <c r="I456" t="s">
        <v>75</v>
      </c>
      <c r="J456" t="s">
        <v>74</v>
      </c>
      <c r="K456" t="s">
        <v>2131</v>
      </c>
      <c r="L456" t="s">
        <v>77</v>
      </c>
      <c r="M456" t="s">
        <v>78</v>
      </c>
      <c r="N456" t="s">
        <v>432</v>
      </c>
      <c r="O456" t="s">
        <v>1151</v>
      </c>
      <c r="P456" t="s">
        <v>193</v>
      </c>
      <c r="AD456">
        <v>4</v>
      </c>
      <c r="AF456" t="s">
        <v>326</v>
      </c>
      <c r="AG456" t="s">
        <v>296</v>
      </c>
      <c r="AH456" t="s">
        <v>326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0.6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279.12</v>
      </c>
      <c r="BE456">
        <v>0</v>
      </c>
      <c r="BF456">
        <v>160</v>
      </c>
      <c r="BG456">
        <v>0</v>
      </c>
      <c r="BH456">
        <v>0</v>
      </c>
      <c r="BI456">
        <v>32</v>
      </c>
      <c r="BJ456">
        <v>0</v>
      </c>
      <c r="BK456">
        <v>0</v>
      </c>
      <c r="BL456">
        <v>0</v>
      </c>
      <c r="BM456">
        <v>0</v>
      </c>
      <c r="BN456">
        <v>471.72</v>
      </c>
      <c r="BO456">
        <v>75.48</v>
      </c>
      <c r="BP456">
        <v>18.86</v>
      </c>
      <c r="BQ456">
        <f t="shared" si="7"/>
        <v>528.34</v>
      </c>
      <c r="BR456" t="s">
        <v>432</v>
      </c>
    </row>
    <row r="457" spans="1:70">
      <c r="A457" t="s">
        <v>2132</v>
      </c>
      <c r="B457" t="s">
        <v>2133</v>
      </c>
      <c r="C457" t="s">
        <v>71</v>
      </c>
      <c r="D457" t="s">
        <v>289</v>
      </c>
      <c r="E457" t="s">
        <v>73</v>
      </c>
      <c r="F457" t="s">
        <v>74</v>
      </c>
      <c r="G457">
        <v>241491</v>
      </c>
      <c r="H457" t="s">
        <v>74</v>
      </c>
      <c r="I457" t="s">
        <v>75</v>
      </c>
      <c r="J457" t="s">
        <v>74</v>
      </c>
      <c r="K457" t="s">
        <v>2134</v>
      </c>
      <c r="L457" t="s">
        <v>77</v>
      </c>
      <c r="M457" t="s">
        <v>78</v>
      </c>
      <c r="N457" t="s">
        <v>586</v>
      </c>
      <c r="O457" t="s">
        <v>1348</v>
      </c>
      <c r="P457" t="s">
        <v>193</v>
      </c>
      <c r="AB457">
        <v>3</v>
      </c>
      <c r="AF457" t="s">
        <v>314</v>
      </c>
      <c r="AG457" t="s">
        <v>296</v>
      </c>
      <c r="AH457" t="s">
        <v>314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0.45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327.24</v>
      </c>
      <c r="BE457">
        <v>0</v>
      </c>
      <c r="BF457">
        <v>120</v>
      </c>
      <c r="BG457">
        <v>0</v>
      </c>
      <c r="BH457">
        <v>0</v>
      </c>
      <c r="BI457">
        <v>24</v>
      </c>
      <c r="BJ457">
        <v>0</v>
      </c>
      <c r="BK457">
        <v>0</v>
      </c>
      <c r="BL457">
        <v>0</v>
      </c>
      <c r="BM457">
        <v>0</v>
      </c>
      <c r="BN457">
        <v>471.69</v>
      </c>
      <c r="BO457">
        <v>75.47</v>
      </c>
      <c r="BP457">
        <v>18.87</v>
      </c>
      <c r="BQ457">
        <f t="shared" si="7"/>
        <v>528.29</v>
      </c>
      <c r="BR457" t="s">
        <v>586</v>
      </c>
    </row>
    <row r="458" spans="1:70">
      <c r="A458" t="s">
        <v>2135</v>
      </c>
      <c r="B458" t="s">
        <v>2136</v>
      </c>
      <c r="C458" t="s">
        <v>71</v>
      </c>
      <c r="D458" t="s">
        <v>289</v>
      </c>
      <c r="E458" t="s">
        <v>73</v>
      </c>
      <c r="F458" t="s">
        <v>74</v>
      </c>
      <c r="G458">
        <v>241492</v>
      </c>
      <c r="H458" t="s">
        <v>74</v>
      </c>
      <c r="I458" t="s">
        <v>75</v>
      </c>
      <c r="J458" t="s">
        <v>74</v>
      </c>
      <c r="K458" t="s">
        <v>2137</v>
      </c>
      <c r="L458" t="s">
        <v>77</v>
      </c>
      <c r="M458" t="s">
        <v>78</v>
      </c>
      <c r="N458" t="s">
        <v>324</v>
      </c>
      <c r="O458" t="s">
        <v>325</v>
      </c>
      <c r="P458" t="s">
        <v>193</v>
      </c>
      <c r="Z458">
        <v>2</v>
      </c>
      <c r="AF458" t="s">
        <v>339</v>
      </c>
      <c r="AG458" t="s">
        <v>296</v>
      </c>
      <c r="AH458" t="s">
        <v>339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0.3</v>
      </c>
      <c r="AT458">
        <v>0</v>
      </c>
      <c r="AU458">
        <v>0</v>
      </c>
      <c r="AV458">
        <v>52.58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375.4</v>
      </c>
      <c r="BE458">
        <v>0</v>
      </c>
      <c r="BF458">
        <v>80</v>
      </c>
      <c r="BG458">
        <v>0</v>
      </c>
      <c r="BH458">
        <v>0</v>
      </c>
      <c r="BI458">
        <v>16</v>
      </c>
      <c r="BJ458">
        <v>0</v>
      </c>
      <c r="BK458">
        <v>0</v>
      </c>
      <c r="BL458">
        <v>0</v>
      </c>
      <c r="BM458">
        <v>0</v>
      </c>
      <c r="BN458">
        <v>524.28</v>
      </c>
      <c r="BO458">
        <v>83.88</v>
      </c>
      <c r="BP458">
        <v>18.87</v>
      </c>
      <c r="BQ458">
        <f t="shared" si="7"/>
        <v>589.29</v>
      </c>
      <c r="BR458" t="s">
        <v>324</v>
      </c>
    </row>
    <row r="459" spans="1:70">
      <c r="A459" t="s">
        <v>2138</v>
      </c>
      <c r="B459" t="s">
        <v>2139</v>
      </c>
      <c r="C459" t="s">
        <v>71</v>
      </c>
      <c r="D459" t="s">
        <v>289</v>
      </c>
      <c r="E459" t="s">
        <v>73</v>
      </c>
      <c r="F459" t="s">
        <v>74</v>
      </c>
      <c r="G459">
        <v>240687</v>
      </c>
      <c r="H459" t="s">
        <v>74</v>
      </c>
      <c r="I459" t="s">
        <v>75</v>
      </c>
      <c r="J459" t="s">
        <v>74</v>
      </c>
      <c r="K459" t="s">
        <v>2140</v>
      </c>
      <c r="L459" t="s">
        <v>77</v>
      </c>
      <c r="M459" t="s">
        <v>78</v>
      </c>
      <c r="N459" t="s">
        <v>349</v>
      </c>
      <c r="O459" t="s">
        <v>2141</v>
      </c>
      <c r="P459" t="s">
        <v>193</v>
      </c>
      <c r="X459">
        <v>10</v>
      </c>
      <c r="AF459" t="s">
        <v>372</v>
      </c>
      <c r="AG459" t="s">
        <v>296</v>
      </c>
      <c r="AH459" t="s">
        <v>372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1.5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461.9</v>
      </c>
      <c r="BE459">
        <v>0</v>
      </c>
      <c r="BF459">
        <v>400</v>
      </c>
      <c r="BG459">
        <v>0</v>
      </c>
      <c r="BH459">
        <v>0</v>
      </c>
      <c r="BI459">
        <v>80</v>
      </c>
      <c r="BJ459">
        <v>0</v>
      </c>
      <c r="BK459">
        <v>0</v>
      </c>
      <c r="BL459">
        <v>0</v>
      </c>
      <c r="BM459">
        <v>0</v>
      </c>
      <c r="BN459">
        <v>943.4</v>
      </c>
      <c r="BO459">
        <v>150.94</v>
      </c>
      <c r="BP459">
        <v>37.74</v>
      </c>
      <c r="BQ459">
        <f t="shared" si="7"/>
        <v>1056.5999999999999</v>
      </c>
      <c r="BR459" t="s">
        <v>349</v>
      </c>
    </row>
    <row r="460" spans="1:70">
      <c r="A460" t="s">
        <v>2142</v>
      </c>
      <c r="B460" t="s">
        <v>2143</v>
      </c>
      <c r="C460" t="s">
        <v>71</v>
      </c>
      <c r="D460" t="s">
        <v>289</v>
      </c>
      <c r="E460" t="s">
        <v>73</v>
      </c>
      <c r="F460" t="s">
        <v>74</v>
      </c>
      <c r="G460">
        <v>241407</v>
      </c>
      <c r="H460" t="s">
        <v>74</v>
      </c>
      <c r="I460" t="s">
        <v>75</v>
      </c>
      <c r="J460" t="s">
        <v>74</v>
      </c>
      <c r="K460" t="s">
        <v>2144</v>
      </c>
      <c r="L460" t="s">
        <v>77</v>
      </c>
      <c r="M460" t="s">
        <v>78</v>
      </c>
      <c r="N460" t="s">
        <v>137</v>
      </c>
      <c r="O460" t="s">
        <v>2145</v>
      </c>
      <c r="P460" t="s">
        <v>193</v>
      </c>
      <c r="AD460">
        <v>4</v>
      </c>
      <c r="AF460" t="s">
        <v>326</v>
      </c>
      <c r="AG460" t="s">
        <v>296</v>
      </c>
      <c r="AH460" t="s">
        <v>326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0.6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279.12</v>
      </c>
      <c r="BE460">
        <v>0</v>
      </c>
      <c r="BF460">
        <v>160</v>
      </c>
      <c r="BG460">
        <v>0</v>
      </c>
      <c r="BH460">
        <v>0</v>
      </c>
      <c r="BI460">
        <v>32</v>
      </c>
      <c r="BJ460">
        <v>0</v>
      </c>
      <c r="BK460">
        <v>0</v>
      </c>
      <c r="BL460">
        <v>0</v>
      </c>
      <c r="BM460">
        <v>0</v>
      </c>
      <c r="BN460">
        <v>471.72</v>
      </c>
      <c r="BO460">
        <v>75.48</v>
      </c>
      <c r="BP460">
        <v>18.86</v>
      </c>
      <c r="BQ460">
        <f t="shared" si="7"/>
        <v>528.34</v>
      </c>
      <c r="BR460" t="s">
        <v>141</v>
      </c>
    </row>
    <row r="461" spans="1:70">
      <c r="A461" t="s">
        <v>2146</v>
      </c>
      <c r="B461" t="s">
        <v>2147</v>
      </c>
      <c r="C461" t="s">
        <v>71</v>
      </c>
      <c r="D461" t="s">
        <v>289</v>
      </c>
      <c r="E461" t="s">
        <v>73</v>
      </c>
      <c r="F461" t="s">
        <v>74</v>
      </c>
      <c r="G461">
        <v>240623</v>
      </c>
      <c r="H461" t="s">
        <v>74</v>
      </c>
      <c r="I461" t="s">
        <v>75</v>
      </c>
      <c r="J461" t="s">
        <v>74</v>
      </c>
      <c r="K461" t="s">
        <v>2148</v>
      </c>
      <c r="L461" t="s">
        <v>77</v>
      </c>
      <c r="M461" t="s">
        <v>78</v>
      </c>
      <c r="N461" t="s">
        <v>558</v>
      </c>
      <c r="O461" t="s">
        <v>955</v>
      </c>
      <c r="P461" t="s">
        <v>193</v>
      </c>
      <c r="X461">
        <v>14</v>
      </c>
      <c r="AF461" t="s">
        <v>413</v>
      </c>
      <c r="AG461" t="s">
        <v>296</v>
      </c>
      <c r="AH461" t="s">
        <v>413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2.1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646.66</v>
      </c>
      <c r="BE461">
        <v>0</v>
      </c>
      <c r="BF461">
        <v>560</v>
      </c>
      <c r="BG461">
        <v>0</v>
      </c>
      <c r="BH461">
        <v>0</v>
      </c>
      <c r="BI461">
        <v>112</v>
      </c>
      <c r="BJ461">
        <v>0</v>
      </c>
      <c r="BK461">
        <v>0</v>
      </c>
      <c r="BL461">
        <v>0</v>
      </c>
      <c r="BM461">
        <v>0</v>
      </c>
      <c r="BN461">
        <v>1320.76</v>
      </c>
      <c r="BO461">
        <v>211.33</v>
      </c>
      <c r="BP461">
        <v>52.83</v>
      </c>
      <c r="BQ461">
        <f t="shared" si="7"/>
        <v>1479.26</v>
      </c>
      <c r="BR461" t="s">
        <v>560</v>
      </c>
    </row>
    <row r="462" spans="1:70">
      <c r="A462" t="s">
        <v>2149</v>
      </c>
      <c r="B462" t="s">
        <v>2150</v>
      </c>
      <c r="C462" t="s">
        <v>71</v>
      </c>
      <c r="D462" t="s">
        <v>289</v>
      </c>
      <c r="E462" t="s">
        <v>73</v>
      </c>
      <c r="F462" t="s">
        <v>74</v>
      </c>
      <c r="G462">
        <v>241420</v>
      </c>
      <c r="H462" t="s">
        <v>74</v>
      </c>
      <c r="I462" t="s">
        <v>75</v>
      </c>
      <c r="J462" t="s">
        <v>74</v>
      </c>
      <c r="K462" t="s">
        <v>2151</v>
      </c>
      <c r="L462" t="s">
        <v>77</v>
      </c>
      <c r="M462" t="s">
        <v>78</v>
      </c>
      <c r="N462" t="s">
        <v>191</v>
      </c>
      <c r="O462" t="s">
        <v>511</v>
      </c>
      <c r="P462" t="s">
        <v>2152</v>
      </c>
      <c r="AD462">
        <v>4</v>
      </c>
      <c r="AF462" t="s">
        <v>326</v>
      </c>
      <c r="AG462" t="s">
        <v>296</v>
      </c>
      <c r="AH462" t="s">
        <v>326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0.6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279.12</v>
      </c>
      <c r="BE462">
        <v>0</v>
      </c>
      <c r="BF462">
        <v>160</v>
      </c>
      <c r="BG462">
        <v>0</v>
      </c>
      <c r="BH462">
        <v>0</v>
      </c>
      <c r="BI462">
        <v>32</v>
      </c>
      <c r="BJ462">
        <v>0</v>
      </c>
      <c r="BK462">
        <v>0</v>
      </c>
      <c r="BL462">
        <v>0</v>
      </c>
      <c r="BM462">
        <v>0</v>
      </c>
      <c r="BN462">
        <v>471.72</v>
      </c>
      <c r="BO462">
        <v>75.48</v>
      </c>
      <c r="BP462">
        <v>18.86</v>
      </c>
      <c r="BQ462">
        <f t="shared" si="7"/>
        <v>528.34</v>
      </c>
      <c r="BR462" t="s">
        <v>195</v>
      </c>
    </row>
    <row r="463" spans="1:70">
      <c r="A463" t="s">
        <v>2153</v>
      </c>
      <c r="B463" t="s">
        <v>2154</v>
      </c>
      <c r="C463" t="s">
        <v>71</v>
      </c>
      <c r="D463" t="s">
        <v>289</v>
      </c>
      <c r="E463" t="s">
        <v>73</v>
      </c>
      <c r="F463">
        <v>241488</v>
      </c>
      <c r="G463">
        <v>241488</v>
      </c>
      <c r="H463" t="s">
        <v>74</v>
      </c>
      <c r="I463" t="s">
        <v>75</v>
      </c>
      <c r="J463" t="s">
        <v>74</v>
      </c>
      <c r="K463" t="s">
        <v>2155</v>
      </c>
      <c r="L463" t="s">
        <v>77</v>
      </c>
      <c r="M463" t="s">
        <v>78</v>
      </c>
      <c r="N463" t="s">
        <v>191</v>
      </c>
      <c r="O463" t="s">
        <v>192</v>
      </c>
      <c r="P463" t="s">
        <v>2152</v>
      </c>
      <c r="T463">
        <v>2</v>
      </c>
      <c r="AF463" t="s">
        <v>808</v>
      </c>
      <c r="AG463" t="s">
        <v>296</v>
      </c>
      <c r="AH463" t="s">
        <v>808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72.92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6419.96</v>
      </c>
      <c r="BE463">
        <v>0</v>
      </c>
      <c r="BF463">
        <v>916.16</v>
      </c>
      <c r="BG463">
        <v>0</v>
      </c>
      <c r="BH463">
        <v>0</v>
      </c>
      <c r="BI463">
        <v>843.24</v>
      </c>
      <c r="BJ463">
        <v>0</v>
      </c>
      <c r="BK463">
        <v>0</v>
      </c>
      <c r="BL463">
        <v>0</v>
      </c>
      <c r="BM463">
        <v>0</v>
      </c>
      <c r="BN463">
        <v>8252.2800000000007</v>
      </c>
      <c r="BO463">
        <v>1320.37</v>
      </c>
      <c r="BP463">
        <v>330.1</v>
      </c>
      <c r="BQ463">
        <f t="shared" si="7"/>
        <v>9242.5500000000011</v>
      </c>
      <c r="BR463" t="s">
        <v>195</v>
      </c>
    </row>
    <row r="464" spans="1:70">
      <c r="A464" t="s">
        <v>2156</v>
      </c>
      <c r="B464" t="s">
        <v>2157</v>
      </c>
      <c r="C464" t="s">
        <v>71</v>
      </c>
      <c r="D464" t="s">
        <v>289</v>
      </c>
      <c r="E464" t="s">
        <v>73</v>
      </c>
      <c r="F464">
        <v>241475</v>
      </c>
      <c r="G464">
        <v>241475</v>
      </c>
      <c r="H464" t="s">
        <v>74</v>
      </c>
      <c r="I464" t="s">
        <v>75</v>
      </c>
      <c r="J464" t="s">
        <v>74</v>
      </c>
      <c r="K464" t="s">
        <v>2158</v>
      </c>
      <c r="L464" t="s">
        <v>77</v>
      </c>
      <c r="M464" t="s">
        <v>78</v>
      </c>
      <c r="N464" t="s">
        <v>964</v>
      </c>
      <c r="O464" t="s">
        <v>2159</v>
      </c>
      <c r="P464" t="s">
        <v>2152</v>
      </c>
      <c r="X464">
        <v>5</v>
      </c>
      <c r="AF464" t="s">
        <v>333</v>
      </c>
      <c r="AG464" t="s">
        <v>296</v>
      </c>
      <c r="AH464" t="s">
        <v>333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0.75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230.95</v>
      </c>
      <c r="BE464">
        <v>0</v>
      </c>
      <c r="BF464">
        <v>200</v>
      </c>
      <c r="BG464">
        <v>0</v>
      </c>
      <c r="BH464">
        <v>0</v>
      </c>
      <c r="BI464">
        <v>40</v>
      </c>
      <c r="BJ464">
        <v>0</v>
      </c>
      <c r="BK464">
        <v>0</v>
      </c>
      <c r="BL464">
        <v>0</v>
      </c>
      <c r="BM464">
        <v>0</v>
      </c>
      <c r="BN464">
        <v>471.7</v>
      </c>
      <c r="BO464">
        <v>75.47</v>
      </c>
      <c r="BP464">
        <v>18.87</v>
      </c>
      <c r="BQ464">
        <f t="shared" si="7"/>
        <v>528.29999999999995</v>
      </c>
      <c r="BR464" t="s">
        <v>964</v>
      </c>
    </row>
    <row r="465" spans="1:70">
      <c r="A465" t="s">
        <v>2160</v>
      </c>
      <c r="B465" t="s">
        <v>2161</v>
      </c>
      <c r="C465" t="s">
        <v>71</v>
      </c>
      <c r="D465" t="s">
        <v>289</v>
      </c>
      <c r="E465" t="s">
        <v>73</v>
      </c>
      <c r="F465">
        <v>241497</v>
      </c>
      <c r="G465">
        <v>241497</v>
      </c>
      <c r="H465" t="s">
        <v>74</v>
      </c>
      <c r="I465" t="s">
        <v>75</v>
      </c>
      <c r="J465" t="s">
        <v>74</v>
      </c>
      <c r="K465" t="s">
        <v>2162</v>
      </c>
      <c r="L465" t="s">
        <v>77</v>
      </c>
      <c r="M465" t="s">
        <v>78</v>
      </c>
      <c r="N465" t="s">
        <v>161</v>
      </c>
      <c r="O465" t="s">
        <v>2163</v>
      </c>
      <c r="P465" t="s">
        <v>2152</v>
      </c>
      <c r="AD465">
        <v>4</v>
      </c>
      <c r="AF465" t="s">
        <v>326</v>
      </c>
      <c r="AG465" t="s">
        <v>296</v>
      </c>
      <c r="AH465" t="s">
        <v>326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0.6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231.4</v>
      </c>
      <c r="BE465">
        <v>0</v>
      </c>
      <c r="BF465">
        <v>160</v>
      </c>
      <c r="BG465">
        <v>0</v>
      </c>
      <c r="BH465">
        <v>0</v>
      </c>
      <c r="BI465">
        <v>32</v>
      </c>
      <c r="BJ465">
        <v>0</v>
      </c>
      <c r="BK465">
        <v>0</v>
      </c>
      <c r="BL465">
        <v>0</v>
      </c>
      <c r="BM465">
        <v>0</v>
      </c>
      <c r="BN465">
        <v>424</v>
      </c>
      <c r="BO465">
        <v>67.84</v>
      </c>
      <c r="BP465">
        <v>16.96</v>
      </c>
      <c r="BQ465">
        <f t="shared" si="7"/>
        <v>474.88000000000005</v>
      </c>
      <c r="BR465" t="s">
        <v>83</v>
      </c>
    </row>
    <row r="466" spans="1:70">
      <c r="A466" t="s">
        <v>2164</v>
      </c>
      <c r="B466" t="s">
        <v>2165</v>
      </c>
      <c r="C466" t="s">
        <v>71</v>
      </c>
      <c r="D466" t="s">
        <v>289</v>
      </c>
      <c r="E466" t="s">
        <v>73</v>
      </c>
      <c r="F466">
        <v>241496</v>
      </c>
      <c r="G466">
        <v>241496</v>
      </c>
      <c r="H466" t="s">
        <v>74</v>
      </c>
      <c r="I466" t="s">
        <v>75</v>
      </c>
      <c r="J466" t="s">
        <v>74</v>
      </c>
      <c r="K466" t="s">
        <v>2166</v>
      </c>
      <c r="L466" t="s">
        <v>77</v>
      </c>
      <c r="M466" t="s">
        <v>78</v>
      </c>
      <c r="N466" t="s">
        <v>649</v>
      </c>
      <c r="O466" t="s">
        <v>2167</v>
      </c>
      <c r="P466" t="s">
        <v>2152</v>
      </c>
      <c r="X466">
        <v>12</v>
      </c>
      <c r="AF466" t="s">
        <v>379</v>
      </c>
      <c r="AG466" t="s">
        <v>296</v>
      </c>
      <c r="AH466" t="s">
        <v>379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1.8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185.4</v>
      </c>
      <c r="BE466">
        <v>0</v>
      </c>
      <c r="BF466">
        <v>480</v>
      </c>
      <c r="BG466">
        <v>0</v>
      </c>
      <c r="BH466">
        <v>0</v>
      </c>
      <c r="BI466">
        <v>96</v>
      </c>
      <c r="BJ466">
        <v>0</v>
      </c>
      <c r="BK466">
        <v>0</v>
      </c>
      <c r="BL466">
        <v>0</v>
      </c>
      <c r="BM466">
        <v>0</v>
      </c>
      <c r="BN466">
        <v>763.2</v>
      </c>
      <c r="BO466">
        <v>122.11</v>
      </c>
      <c r="BP466">
        <v>30.53</v>
      </c>
      <c r="BQ466">
        <f t="shared" si="7"/>
        <v>854.78000000000009</v>
      </c>
      <c r="BR466" t="s">
        <v>649</v>
      </c>
    </row>
    <row r="467" spans="1:70">
      <c r="A467" t="s">
        <v>2168</v>
      </c>
      <c r="B467" t="s">
        <v>2169</v>
      </c>
      <c r="C467" t="s">
        <v>71</v>
      </c>
      <c r="D467" t="s">
        <v>289</v>
      </c>
      <c r="E467" t="s">
        <v>73</v>
      </c>
      <c r="F467" t="s">
        <v>74</v>
      </c>
      <c r="G467">
        <v>241443</v>
      </c>
      <c r="H467" t="s">
        <v>74</v>
      </c>
      <c r="I467" t="s">
        <v>75</v>
      </c>
      <c r="J467" t="s">
        <v>74</v>
      </c>
      <c r="K467" t="s">
        <v>2170</v>
      </c>
      <c r="L467" t="s">
        <v>77</v>
      </c>
      <c r="M467" t="s">
        <v>78</v>
      </c>
      <c r="N467" t="s">
        <v>337</v>
      </c>
      <c r="O467" t="s">
        <v>2171</v>
      </c>
      <c r="P467" t="s">
        <v>2152</v>
      </c>
      <c r="AD467">
        <v>4</v>
      </c>
      <c r="AF467" t="s">
        <v>326</v>
      </c>
      <c r="AG467" t="s">
        <v>296</v>
      </c>
      <c r="AH467" t="s">
        <v>326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0.6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279.12</v>
      </c>
      <c r="BE467">
        <v>0</v>
      </c>
      <c r="BF467">
        <v>160</v>
      </c>
      <c r="BG467">
        <v>0</v>
      </c>
      <c r="BH467">
        <v>0</v>
      </c>
      <c r="BI467">
        <v>32</v>
      </c>
      <c r="BJ467">
        <v>0</v>
      </c>
      <c r="BK467">
        <v>0</v>
      </c>
      <c r="BL467">
        <v>0</v>
      </c>
      <c r="BM467">
        <v>0</v>
      </c>
      <c r="BN467">
        <v>471.72</v>
      </c>
      <c r="BO467">
        <v>75.48</v>
      </c>
      <c r="BP467">
        <v>18.86</v>
      </c>
      <c r="BQ467">
        <f t="shared" si="7"/>
        <v>528.34</v>
      </c>
      <c r="BR467" t="s">
        <v>337</v>
      </c>
    </row>
    <row r="468" spans="1:70">
      <c r="A468" t="s">
        <v>2172</v>
      </c>
      <c r="B468" t="s">
        <v>2173</v>
      </c>
      <c r="C468" t="s">
        <v>71</v>
      </c>
      <c r="D468" t="s">
        <v>289</v>
      </c>
      <c r="E468" t="s">
        <v>73</v>
      </c>
      <c r="F468">
        <v>241493</v>
      </c>
      <c r="G468">
        <v>241493</v>
      </c>
      <c r="H468" t="s">
        <v>74</v>
      </c>
      <c r="I468" t="s">
        <v>75</v>
      </c>
      <c r="J468" t="s">
        <v>74</v>
      </c>
      <c r="K468" t="s">
        <v>2174</v>
      </c>
      <c r="L468" t="s">
        <v>77</v>
      </c>
      <c r="M468" t="s">
        <v>78</v>
      </c>
      <c r="N468" t="s">
        <v>816</v>
      </c>
      <c r="O468" t="s">
        <v>2175</v>
      </c>
      <c r="P468" t="s">
        <v>2152</v>
      </c>
      <c r="X468">
        <v>22</v>
      </c>
      <c r="AF468" t="s">
        <v>445</v>
      </c>
      <c r="AG468" t="s">
        <v>296</v>
      </c>
      <c r="AH468" t="s">
        <v>445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3.3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1016.18</v>
      </c>
      <c r="BE468">
        <v>0</v>
      </c>
      <c r="BF468">
        <v>880</v>
      </c>
      <c r="BG468">
        <v>0</v>
      </c>
      <c r="BH468">
        <v>0</v>
      </c>
      <c r="BI468">
        <v>176</v>
      </c>
      <c r="BJ468">
        <v>0</v>
      </c>
      <c r="BK468">
        <v>0</v>
      </c>
      <c r="BL468">
        <v>0</v>
      </c>
      <c r="BM468">
        <v>0</v>
      </c>
      <c r="BN468">
        <v>2075.48</v>
      </c>
      <c r="BO468">
        <v>332.08</v>
      </c>
      <c r="BP468">
        <v>83.02</v>
      </c>
      <c r="BQ468">
        <f t="shared" si="7"/>
        <v>2324.54</v>
      </c>
      <c r="BR468" t="s">
        <v>332</v>
      </c>
    </row>
    <row r="469" spans="1:70">
      <c r="A469" t="s">
        <v>2176</v>
      </c>
      <c r="B469" t="s">
        <v>2177</v>
      </c>
      <c r="C469" t="s">
        <v>71</v>
      </c>
      <c r="D469" t="s">
        <v>289</v>
      </c>
      <c r="E469" t="s">
        <v>73</v>
      </c>
      <c r="F469">
        <v>241484</v>
      </c>
      <c r="G469">
        <v>241484</v>
      </c>
      <c r="H469" t="s">
        <v>74</v>
      </c>
      <c r="I469" t="s">
        <v>75</v>
      </c>
      <c r="J469" t="s">
        <v>74</v>
      </c>
      <c r="K469" t="s">
        <v>2178</v>
      </c>
      <c r="L469" t="s">
        <v>77</v>
      </c>
      <c r="M469" t="s">
        <v>78</v>
      </c>
      <c r="N469" t="s">
        <v>832</v>
      </c>
      <c r="O469" t="s">
        <v>2179</v>
      </c>
      <c r="P469" t="s">
        <v>2152</v>
      </c>
      <c r="V469">
        <v>1</v>
      </c>
      <c r="AF469" t="s">
        <v>295</v>
      </c>
      <c r="AG469" t="s">
        <v>296</v>
      </c>
      <c r="AH469" t="s">
        <v>295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0.15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375.85</v>
      </c>
      <c r="BE469">
        <v>0</v>
      </c>
      <c r="BF469">
        <v>40</v>
      </c>
      <c r="BG469">
        <v>0</v>
      </c>
      <c r="BH469">
        <v>0</v>
      </c>
      <c r="BI469">
        <v>8</v>
      </c>
      <c r="BJ469">
        <v>0</v>
      </c>
      <c r="BK469">
        <v>0</v>
      </c>
      <c r="BL469">
        <v>0</v>
      </c>
      <c r="BM469">
        <v>0</v>
      </c>
      <c r="BN469">
        <v>424</v>
      </c>
      <c r="BO469">
        <v>67.84</v>
      </c>
      <c r="BP469">
        <v>16.96</v>
      </c>
      <c r="BQ469">
        <f t="shared" si="7"/>
        <v>474.88000000000005</v>
      </c>
      <c r="BR469" t="s">
        <v>832</v>
      </c>
    </row>
    <row r="470" spans="1:70">
      <c r="A470" t="s">
        <v>2180</v>
      </c>
      <c r="B470" t="s">
        <v>2181</v>
      </c>
      <c r="C470" t="s">
        <v>71</v>
      </c>
      <c r="D470" t="s">
        <v>289</v>
      </c>
      <c r="E470" t="s">
        <v>73</v>
      </c>
      <c r="F470">
        <v>241474</v>
      </c>
      <c r="G470">
        <v>241474</v>
      </c>
      <c r="H470" t="s">
        <v>74</v>
      </c>
      <c r="I470" t="s">
        <v>75</v>
      </c>
      <c r="J470" t="s">
        <v>74</v>
      </c>
      <c r="K470" t="s">
        <v>2182</v>
      </c>
      <c r="L470" t="s">
        <v>77</v>
      </c>
      <c r="M470" t="s">
        <v>78</v>
      </c>
      <c r="N470" t="s">
        <v>2183</v>
      </c>
      <c r="O470" t="s">
        <v>2184</v>
      </c>
      <c r="P470" t="s">
        <v>2152</v>
      </c>
      <c r="X470">
        <v>29</v>
      </c>
      <c r="AF470" t="s">
        <v>574</v>
      </c>
      <c r="AG470" t="s">
        <v>296</v>
      </c>
      <c r="AH470" t="s">
        <v>574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4.3499999999999996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1339.51</v>
      </c>
      <c r="BE470">
        <v>0</v>
      </c>
      <c r="BF470">
        <v>1160</v>
      </c>
      <c r="BG470">
        <v>0</v>
      </c>
      <c r="BH470">
        <v>0</v>
      </c>
      <c r="BI470">
        <v>232</v>
      </c>
      <c r="BJ470">
        <v>0</v>
      </c>
      <c r="BK470">
        <v>0</v>
      </c>
      <c r="BL470">
        <v>0</v>
      </c>
      <c r="BM470">
        <v>0</v>
      </c>
      <c r="BN470">
        <v>2735.86</v>
      </c>
      <c r="BO470">
        <v>437.74</v>
      </c>
      <c r="BP470">
        <v>109.43</v>
      </c>
      <c r="BQ470">
        <f t="shared" si="7"/>
        <v>3064.1700000000005</v>
      </c>
      <c r="BR470" t="s">
        <v>2185</v>
      </c>
    </row>
    <row r="471" spans="1:70">
      <c r="A471" t="s">
        <v>2186</v>
      </c>
      <c r="B471" t="s">
        <v>2187</v>
      </c>
      <c r="C471" t="s">
        <v>71</v>
      </c>
      <c r="D471" t="s">
        <v>289</v>
      </c>
      <c r="E471" t="s">
        <v>73</v>
      </c>
      <c r="F471">
        <v>241476</v>
      </c>
      <c r="G471">
        <v>241476</v>
      </c>
      <c r="H471" t="s">
        <v>74</v>
      </c>
      <c r="I471" t="s">
        <v>75</v>
      </c>
      <c r="J471" t="s">
        <v>74</v>
      </c>
      <c r="K471" t="s">
        <v>2188</v>
      </c>
      <c r="L471" t="s">
        <v>77</v>
      </c>
      <c r="M471" t="s">
        <v>78</v>
      </c>
      <c r="N471" t="s">
        <v>119</v>
      </c>
      <c r="O471" t="s">
        <v>2189</v>
      </c>
      <c r="P471" t="s">
        <v>2152</v>
      </c>
      <c r="AD471">
        <v>4</v>
      </c>
      <c r="AF471" t="s">
        <v>326</v>
      </c>
      <c r="AG471" t="s">
        <v>296</v>
      </c>
      <c r="AH471" t="s">
        <v>326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0.6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231.4</v>
      </c>
      <c r="BE471">
        <v>0</v>
      </c>
      <c r="BF471">
        <v>160</v>
      </c>
      <c r="BG471">
        <v>0</v>
      </c>
      <c r="BH471">
        <v>0</v>
      </c>
      <c r="BI471">
        <v>32</v>
      </c>
      <c r="BJ471">
        <v>0</v>
      </c>
      <c r="BK471">
        <v>0</v>
      </c>
      <c r="BL471">
        <v>0</v>
      </c>
      <c r="BM471">
        <v>0</v>
      </c>
      <c r="BN471">
        <v>424</v>
      </c>
      <c r="BO471">
        <v>67.84</v>
      </c>
      <c r="BP471">
        <v>16.96</v>
      </c>
      <c r="BQ471">
        <f t="shared" si="7"/>
        <v>474.88000000000005</v>
      </c>
      <c r="BR471" t="s">
        <v>119</v>
      </c>
    </row>
    <row r="472" spans="1:70">
      <c r="A472" t="s">
        <v>2190</v>
      </c>
      <c r="B472" t="s">
        <v>2191</v>
      </c>
      <c r="C472" t="s">
        <v>71</v>
      </c>
      <c r="D472" t="s">
        <v>289</v>
      </c>
      <c r="E472" t="s">
        <v>73</v>
      </c>
      <c r="F472" t="s">
        <v>74</v>
      </c>
      <c r="G472">
        <v>241447</v>
      </c>
      <c r="H472" t="s">
        <v>74</v>
      </c>
      <c r="I472" t="s">
        <v>75</v>
      </c>
      <c r="J472" t="s">
        <v>74</v>
      </c>
      <c r="K472" t="s">
        <v>2192</v>
      </c>
      <c r="L472" t="s">
        <v>77</v>
      </c>
      <c r="M472" t="s">
        <v>78</v>
      </c>
      <c r="N472" t="s">
        <v>674</v>
      </c>
      <c r="O472" t="s">
        <v>872</v>
      </c>
      <c r="P472" t="s">
        <v>2152</v>
      </c>
      <c r="V472">
        <v>1</v>
      </c>
      <c r="AF472" t="s">
        <v>295</v>
      </c>
      <c r="AG472" t="s">
        <v>296</v>
      </c>
      <c r="AH472" t="s">
        <v>295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0.15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375.85</v>
      </c>
      <c r="BE472">
        <v>0</v>
      </c>
      <c r="BF472">
        <v>40</v>
      </c>
      <c r="BG472">
        <v>0</v>
      </c>
      <c r="BH472">
        <v>0</v>
      </c>
      <c r="BI472">
        <v>8</v>
      </c>
      <c r="BJ472">
        <v>0</v>
      </c>
      <c r="BK472">
        <v>0</v>
      </c>
      <c r="BL472">
        <v>0</v>
      </c>
      <c r="BM472">
        <v>0</v>
      </c>
      <c r="BN472">
        <v>424</v>
      </c>
      <c r="BO472">
        <v>67.84</v>
      </c>
      <c r="BP472">
        <v>16.96</v>
      </c>
      <c r="BQ472">
        <f t="shared" si="7"/>
        <v>474.88000000000005</v>
      </c>
      <c r="BR472" t="s">
        <v>674</v>
      </c>
    </row>
    <row r="473" spans="1:70">
      <c r="A473" t="s">
        <v>2193</v>
      </c>
      <c r="B473" t="s">
        <v>2194</v>
      </c>
      <c r="C473" t="s">
        <v>71</v>
      </c>
      <c r="D473" t="s">
        <v>289</v>
      </c>
      <c r="E473" t="s">
        <v>73</v>
      </c>
      <c r="F473">
        <v>241494</v>
      </c>
      <c r="G473">
        <v>241494</v>
      </c>
      <c r="H473" t="s">
        <v>74</v>
      </c>
      <c r="I473" t="s">
        <v>75</v>
      </c>
      <c r="J473" t="s">
        <v>74</v>
      </c>
      <c r="K473" t="s">
        <v>2195</v>
      </c>
      <c r="L473" t="s">
        <v>77</v>
      </c>
      <c r="M473" t="s">
        <v>78</v>
      </c>
      <c r="N473" t="s">
        <v>161</v>
      </c>
      <c r="O473" t="s">
        <v>2196</v>
      </c>
      <c r="P473" t="s">
        <v>2152</v>
      </c>
      <c r="X473">
        <v>20</v>
      </c>
      <c r="AF473" t="s">
        <v>384</v>
      </c>
      <c r="AG473" t="s">
        <v>296</v>
      </c>
      <c r="AH473" t="s">
        <v>384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3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309</v>
      </c>
      <c r="BE473">
        <v>0</v>
      </c>
      <c r="BF473">
        <v>800</v>
      </c>
      <c r="BG473">
        <v>0</v>
      </c>
      <c r="BH473">
        <v>0</v>
      </c>
      <c r="BI473">
        <v>160</v>
      </c>
      <c r="BJ473">
        <v>0</v>
      </c>
      <c r="BK473">
        <v>0</v>
      </c>
      <c r="BL473">
        <v>0</v>
      </c>
      <c r="BM473">
        <v>0</v>
      </c>
      <c r="BN473">
        <v>1272</v>
      </c>
      <c r="BO473">
        <v>203.52</v>
      </c>
      <c r="BP473">
        <v>50.88</v>
      </c>
      <c r="BQ473">
        <f t="shared" si="7"/>
        <v>1424.6399999999999</v>
      </c>
      <c r="BR473" t="s">
        <v>83</v>
      </c>
    </row>
    <row r="474" spans="1:70">
      <c r="A474" t="s">
        <v>2197</v>
      </c>
      <c r="B474" t="s">
        <v>2198</v>
      </c>
      <c r="C474" t="s">
        <v>71</v>
      </c>
      <c r="D474" t="s">
        <v>289</v>
      </c>
      <c r="E474" t="s">
        <v>73</v>
      </c>
      <c r="F474">
        <v>241468</v>
      </c>
      <c r="G474">
        <v>241468</v>
      </c>
      <c r="H474" t="s">
        <v>74</v>
      </c>
      <c r="I474" t="s">
        <v>75</v>
      </c>
      <c r="J474" t="s">
        <v>74</v>
      </c>
      <c r="K474" t="s">
        <v>2199</v>
      </c>
      <c r="L474" t="s">
        <v>77</v>
      </c>
      <c r="M474" t="s">
        <v>78</v>
      </c>
      <c r="N474" t="s">
        <v>376</v>
      </c>
      <c r="O474" t="s">
        <v>2200</v>
      </c>
      <c r="P474" t="s">
        <v>2152</v>
      </c>
      <c r="X474">
        <v>7</v>
      </c>
      <c r="AF474" t="s">
        <v>345</v>
      </c>
      <c r="AG474" t="s">
        <v>296</v>
      </c>
      <c r="AH474" t="s">
        <v>345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1.05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323.33</v>
      </c>
      <c r="BE474">
        <v>0</v>
      </c>
      <c r="BF474">
        <v>280</v>
      </c>
      <c r="BG474">
        <v>0</v>
      </c>
      <c r="BH474">
        <v>0</v>
      </c>
      <c r="BI474">
        <v>56</v>
      </c>
      <c r="BJ474">
        <v>0</v>
      </c>
      <c r="BK474">
        <v>0</v>
      </c>
      <c r="BL474">
        <v>0</v>
      </c>
      <c r="BM474">
        <v>0</v>
      </c>
      <c r="BN474">
        <v>660.38</v>
      </c>
      <c r="BO474">
        <v>105.66</v>
      </c>
      <c r="BP474">
        <v>26.41</v>
      </c>
      <c r="BQ474">
        <f t="shared" si="7"/>
        <v>739.63</v>
      </c>
      <c r="BR474" t="s">
        <v>378</v>
      </c>
    </row>
    <row r="475" spans="1:70">
      <c r="A475" t="s">
        <v>2201</v>
      </c>
      <c r="B475" t="s">
        <v>2202</v>
      </c>
      <c r="C475" t="s">
        <v>71</v>
      </c>
      <c r="D475" t="s">
        <v>289</v>
      </c>
      <c r="E475" t="s">
        <v>73</v>
      </c>
      <c r="F475" t="s">
        <v>74</v>
      </c>
      <c r="G475" t="s">
        <v>74</v>
      </c>
      <c r="H475" t="s">
        <v>74</v>
      </c>
      <c r="I475" t="s">
        <v>75</v>
      </c>
      <c r="J475" t="s">
        <v>74</v>
      </c>
      <c r="K475" t="s">
        <v>2203</v>
      </c>
      <c r="L475" t="s">
        <v>77</v>
      </c>
      <c r="M475" t="s">
        <v>78</v>
      </c>
      <c r="N475" t="s">
        <v>674</v>
      </c>
      <c r="O475" t="s">
        <v>872</v>
      </c>
      <c r="P475" t="s">
        <v>2152</v>
      </c>
      <c r="AB475">
        <v>2</v>
      </c>
      <c r="AF475" t="s">
        <v>339</v>
      </c>
      <c r="AG475" t="s">
        <v>296</v>
      </c>
      <c r="AH475" t="s">
        <v>339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0.3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186.36</v>
      </c>
      <c r="BE475">
        <v>0</v>
      </c>
      <c r="BF475">
        <v>80</v>
      </c>
      <c r="BG475">
        <v>0</v>
      </c>
      <c r="BH475">
        <v>0</v>
      </c>
      <c r="BI475">
        <v>16</v>
      </c>
      <c r="BJ475">
        <v>0</v>
      </c>
      <c r="BK475">
        <v>0</v>
      </c>
      <c r="BL475">
        <v>0</v>
      </c>
      <c r="BM475">
        <v>0</v>
      </c>
      <c r="BN475">
        <v>282.66000000000003</v>
      </c>
      <c r="BO475">
        <v>45.23</v>
      </c>
      <c r="BP475">
        <v>11.3</v>
      </c>
      <c r="BQ475">
        <f t="shared" si="7"/>
        <v>316.59000000000003</v>
      </c>
      <c r="BR475" t="s">
        <v>674</v>
      </c>
    </row>
    <row r="476" spans="1:70">
      <c r="A476" t="s">
        <v>2204</v>
      </c>
      <c r="B476" t="s">
        <v>2205</v>
      </c>
      <c r="C476" t="s">
        <v>71</v>
      </c>
      <c r="D476" t="s">
        <v>289</v>
      </c>
      <c r="E476" t="s">
        <v>73</v>
      </c>
      <c r="F476" t="s">
        <v>74</v>
      </c>
      <c r="G476">
        <v>241477</v>
      </c>
      <c r="H476" t="s">
        <v>74</v>
      </c>
      <c r="I476" t="s">
        <v>75</v>
      </c>
      <c r="J476" t="s">
        <v>74</v>
      </c>
      <c r="K476" t="s">
        <v>2206</v>
      </c>
      <c r="L476" t="s">
        <v>77</v>
      </c>
      <c r="M476" t="s">
        <v>78</v>
      </c>
      <c r="N476" t="s">
        <v>324</v>
      </c>
      <c r="O476" t="s">
        <v>325</v>
      </c>
      <c r="P476" t="s">
        <v>2152</v>
      </c>
      <c r="Z476">
        <v>2</v>
      </c>
      <c r="AF476" t="s">
        <v>339</v>
      </c>
      <c r="AG476" t="s">
        <v>296</v>
      </c>
      <c r="AH476" t="s">
        <v>339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0.3</v>
      </c>
      <c r="AT476">
        <v>0</v>
      </c>
      <c r="AU476">
        <v>0</v>
      </c>
      <c r="AV476">
        <v>52.58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375.4</v>
      </c>
      <c r="BE476">
        <v>0</v>
      </c>
      <c r="BF476">
        <v>80</v>
      </c>
      <c r="BG476">
        <v>0</v>
      </c>
      <c r="BH476">
        <v>0</v>
      </c>
      <c r="BI476">
        <v>16</v>
      </c>
      <c r="BJ476">
        <v>0</v>
      </c>
      <c r="BK476">
        <v>0</v>
      </c>
      <c r="BL476">
        <v>0</v>
      </c>
      <c r="BM476">
        <v>0</v>
      </c>
      <c r="BN476">
        <v>524.28</v>
      </c>
      <c r="BO476">
        <v>83.88</v>
      </c>
      <c r="BP476">
        <v>18.87</v>
      </c>
      <c r="BQ476">
        <f t="shared" si="7"/>
        <v>589.29</v>
      </c>
      <c r="BR476" t="s">
        <v>324</v>
      </c>
    </row>
    <row r="477" spans="1:70">
      <c r="A477" t="s">
        <v>2207</v>
      </c>
      <c r="B477" t="s">
        <v>2208</v>
      </c>
      <c r="C477" t="s">
        <v>71</v>
      </c>
      <c r="D477" t="s">
        <v>289</v>
      </c>
      <c r="E477" t="s">
        <v>73</v>
      </c>
      <c r="F477">
        <v>241479</v>
      </c>
      <c r="G477">
        <v>241479</v>
      </c>
      <c r="H477" t="s">
        <v>74</v>
      </c>
      <c r="I477" t="s">
        <v>75</v>
      </c>
      <c r="J477" t="s">
        <v>74</v>
      </c>
      <c r="K477" t="s">
        <v>2209</v>
      </c>
      <c r="L477" t="s">
        <v>77</v>
      </c>
      <c r="M477" t="s">
        <v>78</v>
      </c>
      <c r="N477" t="s">
        <v>1309</v>
      </c>
      <c r="O477" t="s">
        <v>1310</v>
      </c>
      <c r="P477" t="s">
        <v>2152</v>
      </c>
      <c r="AD477">
        <v>4</v>
      </c>
      <c r="AF477" t="s">
        <v>326</v>
      </c>
      <c r="AG477" t="s">
        <v>296</v>
      </c>
      <c r="AH477" t="s">
        <v>326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0.6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231.4</v>
      </c>
      <c r="BE477">
        <v>0</v>
      </c>
      <c r="BF477">
        <v>160</v>
      </c>
      <c r="BG477">
        <v>0</v>
      </c>
      <c r="BH477">
        <v>0</v>
      </c>
      <c r="BI477">
        <v>32</v>
      </c>
      <c r="BJ477">
        <v>0</v>
      </c>
      <c r="BK477">
        <v>0</v>
      </c>
      <c r="BL477">
        <v>0</v>
      </c>
      <c r="BM477">
        <v>0</v>
      </c>
      <c r="BN477">
        <v>424</v>
      </c>
      <c r="BO477">
        <v>67.84</v>
      </c>
      <c r="BP477">
        <v>16.96</v>
      </c>
      <c r="BQ477">
        <f t="shared" si="7"/>
        <v>474.88000000000005</v>
      </c>
      <c r="BR477" t="s">
        <v>83</v>
      </c>
    </row>
    <row r="478" spans="1:70">
      <c r="A478" t="s">
        <v>2210</v>
      </c>
      <c r="B478" t="s">
        <v>2211</v>
      </c>
      <c r="C478" t="s">
        <v>71</v>
      </c>
      <c r="D478" t="s">
        <v>289</v>
      </c>
      <c r="E478" t="s">
        <v>73</v>
      </c>
      <c r="F478">
        <v>241480</v>
      </c>
      <c r="G478">
        <v>241480</v>
      </c>
      <c r="H478" t="s">
        <v>74</v>
      </c>
      <c r="I478" t="s">
        <v>75</v>
      </c>
      <c r="J478" t="s">
        <v>74</v>
      </c>
      <c r="K478" t="s">
        <v>2212</v>
      </c>
      <c r="L478" t="s">
        <v>77</v>
      </c>
      <c r="M478" t="s">
        <v>78</v>
      </c>
      <c r="N478" t="s">
        <v>816</v>
      </c>
      <c r="O478" t="s">
        <v>2213</v>
      </c>
      <c r="P478" t="s">
        <v>2152</v>
      </c>
      <c r="V478">
        <v>1</v>
      </c>
      <c r="AF478" t="s">
        <v>295</v>
      </c>
      <c r="AG478" t="s">
        <v>296</v>
      </c>
      <c r="AH478" t="s">
        <v>295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0.15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423.55</v>
      </c>
      <c r="BE478">
        <v>0</v>
      </c>
      <c r="BF478">
        <v>40</v>
      </c>
      <c r="BG478">
        <v>0</v>
      </c>
      <c r="BH478">
        <v>0</v>
      </c>
      <c r="BI478">
        <v>8</v>
      </c>
      <c r="BJ478">
        <v>0</v>
      </c>
      <c r="BK478">
        <v>0</v>
      </c>
      <c r="BL478">
        <v>0</v>
      </c>
      <c r="BM478">
        <v>0</v>
      </c>
      <c r="BN478">
        <v>471.7</v>
      </c>
      <c r="BO478">
        <v>75.47</v>
      </c>
      <c r="BP478">
        <v>18.87</v>
      </c>
      <c r="BQ478">
        <f t="shared" si="7"/>
        <v>528.29999999999995</v>
      </c>
      <c r="BR478" t="s">
        <v>332</v>
      </c>
    </row>
    <row r="479" spans="1:70">
      <c r="A479" t="s">
        <v>2214</v>
      </c>
      <c r="B479" t="s">
        <v>2215</v>
      </c>
      <c r="C479" t="s">
        <v>71</v>
      </c>
      <c r="D479" t="s">
        <v>289</v>
      </c>
      <c r="E479" t="s">
        <v>73</v>
      </c>
      <c r="F479">
        <v>241487</v>
      </c>
      <c r="G479">
        <v>241487</v>
      </c>
      <c r="H479" t="s">
        <v>74</v>
      </c>
      <c r="I479" t="s">
        <v>75</v>
      </c>
      <c r="J479" t="s">
        <v>74</v>
      </c>
      <c r="K479" t="s">
        <v>2216</v>
      </c>
      <c r="L479" t="s">
        <v>77</v>
      </c>
      <c r="M479" t="s">
        <v>78</v>
      </c>
      <c r="N479" t="s">
        <v>653</v>
      </c>
      <c r="O479" t="s">
        <v>2217</v>
      </c>
      <c r="P479" t="s">
        <v>2152</v>
      </c>
      <c r="X479">
        <v>6</v>
      </c>
      <c r="AF479" t="s">
        <v>400</v>
      </c>
      <c r="AG479" t="s">
        <v>296</v>
      </c>
      <c r="AH479" t="s">
        <v>400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0.9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92.7</v>
      </c>
      <c r="BE479">
        <v>0</v>
      </c>
      <c r="BF479">
        <v>240</v>
      </c>
      <c r="BG479">
        <v>0</v>
      </c>
      <c r="BH479">
        <v>0</v>
      </c>
      <c r="BI479">
        <v>48</v>
      </c>
      <c r="BJ479">
        <v>0</v>
      </c>
      <c r="BK479">
        <v>0</v>
      </c>
      <c r="BL479">
        <v>0</v>
      </c>
      <c r="BM479">
        <v>0</v>
      </c>
      <c r="BN479">
        <v>381.6</v>
      </c>
      <c r="BO479">
        <v>61.05</v>
      </c>
      <c r="BP479">
        <v>15.27</v>
      </c>
      <c r="BQ479">
        <f t="shared" si="7"/>
        <v>427.38000000000005</v>
      </c>
      <c r="BR479" t="s">
        <v>119</v>
      </c>
    </row>
    <row r="480" spans="1:70">
      <c r="A480" t="s">
        <v>2218</v>
      </c>
      <c r="B480" t="s">
        <v>2219</v>
      </c>
      <c r="C480" t="s">
        <v>71</v>
      </c>
      <c r="D480" t="s">
        <v>289</v>
      </c>
      <c r="E480" t="s">
        <v>73</v>
      </c>
      <c r="F480" t="s">
        <v>74</v>
      </c>
      <c r="G480">
        <v>241465</v>
      </c>
      <c r="H480" t="s">
        <v>74</v>
      </c>
      <c r="I480" t="s">
        <v>75</v>
      </c>
      <c r="J480" t="s">
        <v>74</v>
      </c>
      <c r="K480" t="s">
        <v>2220</v>
      </c>
      <c r="L480" t="s">
        <v>77</v>
      </c>
      <c r="M480" t="s">
        <v>78</v>
      </c>
      <c r="N480" t="s">
        <v>1309</v>
      </c>
      <c r="O480" t="s">
        <v>2221</v>
      </c>
      <c r="P480" t="s">
        <v>2152</v>
      </c>
      <c r="AD480">
        <v>4</v>
      </c>
      <c r="AF480" t="s">
        <v>326</v>
      </c>
      <c r="AG480" t="s">
        <v>296</v>
      </c>
      <c r="AH480" t="s">
        <v>326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0.6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231.4</v>
      </c>
      <c r="BE480">
        <v>0</v>
      </c>
      <c r="BF480">
        <v>160</v>
      </c>
      <c r="BG480">
        <v>0</v>
      </c>
      <c r="BH480">
        <v>0</v>
      </c>
      <c r="BI480">
        <v>32</v>
      </c>
      <c r="BJ480">
        <v>0</v>
      </c>
      <c r="BK480">
        <v>0</v>
      </c>
      <c r="BL480">
        <v>0</v>
      </c>
      <c r="BM480">
        <v>0</v>
      </c>
      <c r="BN480">
        <v>424</v>
      </c>
      <c r="BO480">
        <v>67.84</v>
      </c>
      <c r="BP480">
        <v>16.96</v>
      </c>
      <c r="BQ480">
        <f t="shared" si="7"/>
        <v>474.88000000000005</v>
      </c>
      <c r="BR480" t="s">
        <v>83</v>
      </c>
    </row>
    <row r="481" spans="1:70">
      <c r="A481" t="s">
        <v>2222</v>
      </c>
      <c r="B481" t="s">
        <v>2223</v>
      </c>
      <c r="C481" t="s">
        <v>71</v>
      </c>
      <c r="D481" t="s">
        <v>289</v>
      </c>
      <c r="E481" t="s">
        <v>73</v>
      </c>
      <c r="F481">
        <v>241495</v>
      </c>
      <c r="G481">
        <v>241495</v>
      </c>
      <c r="H481" t="s">
        <v>74</v>
      </c>
      <c r="I481" t="s">
        <v>75</v>
      </c>
      <c r="J481" t="s">
        <v>74</v>
      </c>
      <c r="K481" t="s">
        <v>2224</v>
      </c>
      <c r="L481" t="s">
        <v>77</v>
      </c>
      <c r="M481" t="s">
        <v>78</v>
      </c>
      <c r="N481" t="s">
        <v>1603</v>
      </c>
      <c r="O481" t="s">
        <v>1604</v>
      </c>
      <c r="P481" t="s">
        <v>2152</v>
      </c>
      <c r="AD481">
        <v>4</v>
      </c>
      <c r="AF481" t="s">
        <v>326</v>
      </c>
      <c r="AG481" t="s">
        <v>296</v>
      </c>
      <c r="AH481" t="s">
        <v>326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0.6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279.12</v>
      </c>
      <c r="BE481">
        <v>0</v>
      </c>
      <c r="BF481">
        <v>160</v>
      </c>
      <c r="BG481">
        <v>0</v>
      </c>
      <c r="BH481">
        <v>0</v>
      </c>
      <c r="BI481">
        <v>32</v>
      </c>
      <c r="BJ481">
        <v>0</v>
      </c>
      <c r="BK481">
        <v>0</v>
      </c>
      <c r="BL481">
        <v>0</v>
      </c>
      <c r="BM481">
        <v>0</v>
      </c>
      <c r="BN481">
        <v>471.72</v>
      </c>
      <c r="BO481">
        <v>75.48</v>
      </c>
      <c r="BP481">
        <v>18.86</v>
      </c>
      <c r="BQ481">
        <f t="shared" si="7"/>
        <v>528.34</v>
      </c>
      <c r="BR481" t="s">
        <v>1605</v>
      </c>
    </row>
    <row r="482" spans="1:70">
      <c r="A482" t="s">
        <v>2225</v>
      </c>
      <c r="B482" t="s">
        <v>2226</v>
      </c>
      <c r="C482" t="s">
        <v>71</v>
      </c>
      <c r="D482" t="s">
        <v>289</v>
      </c>
      <c r="E482" t="s">
        <v>73</v>
      </c>
      <c r="F482" t="s">
        <v>74</v>
      </c>
      <c r="G482">
        <v>241482</v>
      </c>
      <c r="H482" t="s">
        <v>74</v>
      </c>
      <c r="I482" t="s">
        <v>75</v>
      </c>
      <c r="J482" t="s">
        <v>74</v>
      </c>
      <c r="K482" t="s">
        <v>2227</v>
      </c>
      <c r="L482" t="s">
        <v>77</v>
      </c>
      <c r="M482" t="s">
        <v>78</v>
      </c>
      <c r="N482" t="s">
        <v>343</v>
      </c>
      <c r="O482" t="s">
        <v>2228</v>
      </c>
      <c r="P482" t="s">
        <v>2152</v>
      </c>
      <c r="X482">
        <v>5</v>
      </c>
      <c r="AF482" t="s">
        <v>333</v>
      </c>
      <c r="AG482" t="s">
        <v>296</v>
      </c>
      <c r="AH482" t="s">
        <v>333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0.75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77.25</v>
      </c>
      <c r="BE482">
        <v>0</v>
      </c>
      <c r="BF482">
        <v>200</v>
      </c>
      <c r="BG482">
        <v>0</v>
      </c>
      <c r="BH482">
        <v>0</v>
      </c>
      <c r="BI482">
        <v>40</v>
      </c>
      <c r="BJ482">
        <v>0</v>
      </c>
      <c r="BK482">
        <v>0</v>
      </c>
      <c r="BL482">
        <v>0</v>
      </c>
      <c r="BM482">
        <v>0</v>
      </c>
      <c r="BN482">
        <v>318</v>
      </c>
      <c r="BO482">
        <v>50.88</v>
      </c>
      <c r="BP482">
        <v>12.72</v>
      </c>
      <c r="BQ482">
        <f t="shared" si="7"/>
        <v>356.15999999999997</v>
      </c>
      <c r="BR482" t="s">
        <v>343</v>
      </c>
    </row>
    <row r="483" spans="1:70">
      <c r="A483" t="s">
        <v>2229</v>
      </c>
      <c r="B483" t="s">
        <v>2230</v>
      </c>
      <c r="C483" t="s">
        <v>71</v>
      </c>
      <c r="D483" t="s">
        <v>289</v>
      </c>
      <c r="E483" t="s">
        <v>73</v>
      </c>
      <c r="F483">
        <v>241498</v>
      </c>
      <c r="G483">
        <v>241498</v>
      </c>
      <c r="H483" t="s">
        <v>74</v>
      </c>
      <c r="I483" t="s">
        <v>75</v>
      </c>
      <c r="J483" t="s">
        <v>74</v>
      </c>
      <c r="K483" t="s">
        <v>2231</v>
      </c>
      <c r="L483" t="s">
        <v>77</v>
      </c>
      <c r="M483" t="s">
        <v>78</v>
      </c>
      <c r="N483" t="s">
        <v>404</v>
      </c>
      <c r="O483" t="s">
        <v>2232</v>
      </c>
      <c r="P483" t="s">
        <v>2152</v>
      </c>
      <c r="V483">
        <v>3</v>
      </c>
      <c r="AF483" t="s">
        <v>314</v>
      </c>
      <c r="AG483" t="s">
        <v>296</v>
      </c>
      <c r="AH483" t="s">
        <v>314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0.45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1127.55</v>
      </c>
      <c r="BE483">
        <v>0</v>
      </c>
      <c r="BF483">
        <v>120</v>
      </c>
      <c r="BG483">
        <v>0</v>
      </c>
      <c r="BH483">
        <v>0</v>
      </c>
      <c r="BI483">
        <v>24</v>
      </c>
      <c r="BJ483">
        <v>0</v>
      </c>
      <c r="BK483">
        <v>0</v>
      </c>
      <c r="BL483">
        <v>0</v>
      </c>
      <c r="BM483">
        <v>0</v>
      </c>
      <c r="BN483">
        <v>1272</v>
      </c>
      <c r="BO483">
        <v>203.52</v>
      </c>
      <c r="BP483">
        <v>50.88</v>
      </c>
      <c r="BQ483">
        <f t="shared" si="7"/>
        <v>1424.6399999999999</v>
      </c>
      <c r="BR483" t="s">
        <v>406</v>
      </c>
    </row>
    <row r="484" spans="1:70">
      <c r="A484" t="s">
        <v>2233</v>
      </c>
      <c r="B484" t="s">
        <v>2234</v>
      </c>
      <c r="C484" t="s">
        <v>71</v>
      </c>
      <c r="D484" t="s">
        <v>289</v>
      </c>
      <c r="E484" t="s">
        <v>2235</v>
      </c>
      <c r="F484" t="s">
        <v>74</v>
      </c>
      <c r="G484">
        <v>241466</v>
      </c>
      <c r="H484" t="s">
        <v>74</v>
      </c>
      <c r="I484" t="s">
        <v>75</v>
      </c>
      <c r="J484" t="s">
        <v>74</v>
      </c>
      <c r="K484" t="s">
        <v>2236</v>
      </c>
      <c r="L484" t="s">
        <v>77</v>
      </c>
      <c r="M484" t="s">
        <v>78</v>
      </c>
      <c r="N484" t="s">
        <v>558</v>
      </c>
      <c r="O484" t="s">
        <v>633</v>
      </c>
      <c r="P484" t="s">
        <v>2152</v>
      </c>
      <c r="X484">
        <v>20</v>
      </c>
      <c r="AF484" t="s">
        <v>413</v>
      </c>
      <c r="AG484" t="s">
        <v>296</v>
      </c>
      <c r="AH484" t="s">
        <v>384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3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923.8</v>
      </c>
      <c r="BE484">
        <v>0</v>
      </c>
      <c r="BF484">
        <v>800</v>
      </c>
      <c r="BG484">
        <v>0</v>
      </c>
      <c r="BH484">
        <v>0</v>
      </c>
      <c r="BI484">
        <v>160</v>
      </c>
      <c r="BJ484">
        <v>0</v>
      </c>
      <c r="BK484">
        <v>0</v>
      </c>
      <c r="BL484">
        <v>0</v>
      </c>
      <c r="BM484">
        <v>0</v>
      </c>
      <c r="BN484">
        <v>1886.8</v>
      </c>
      <c r="BO484">
        <v>301.89</v>
      </c>
      <c r="BP484">
        <v>75.47</v>
      </c>
      <c r="BQ484">
        <f t="shared" si="7"/>
        <v>2113.2200000000003</v>
      </c>
      <c r="BR484" t="s">
        <v>560</v>
      </c>
    </row>
    <row r="485" spans="1:70">
      <c r="A485" t="s">
        <v>2237</v>
      </c>
      <c r="B485" t="s">
        <v>2238</v>
      </c>
      <c r="C485" t="s">
        <v>71</v>
      </c>
      <c r="D485" t="s">
        <v>289</v>
      </c>
      <c r="E485" t="s">
        <v>73</v>
      </c>
      <c r="F485" t="s">
        <v>74</v>
      </c>
      <c r="G485">
        <v>241437</v>
      </c>
      <c r="H485" t="s">
        <v>74</v>
      </c>
      <c r="I485" t="s">
        <v>75</v>
      </c>
      <c r="J485" t="s">
        <v>74</v>
      </c>
      <c r="K485" t="s">
        <v>2239</v>
      </c>
      <c r="L485" t="s">
        <v>77</v>
      </c>
      <c r="M485" t="s">
        <v>78</v>
      </c>
      <c r="N485" t="s">
        <v>558</v>
      </c>
      <c r="O485" t="s">
        <v>1005</v>
      </c>
      <c r="P485" t="s">
        <v>2240</v>
      </c>
      <c r="T485">
        <v>1</v>
      </c>
      <c r="AF485" t="s">
        <v>823</v>
      </c>
      <c r="AG485" t="s">
        <v>296</v>
      </c>
      <c r="AH485" t="s">
        <v>823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36.46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2293.8200000000002</v>
      </c>
      <c r="BE485">
        <v>0</v>
      </c>
      <c r="BF485">
        <v>458.08</v>
      </c>
      <c r="BG485">
        <v>0</v>
      </c>
      <c r="BH485">
        <v>0</v>
      </c>
      <c r="BI485">
        <v>421.62</v>
      </c>
      <c r="BJ485">
        <v>0</v>
      </c>
      <c r="BK485">
        <v>0</v>
      </c>
      <c r="BL485">
        <v>0</v>
      </c>
      <c r="BM485">
        <v>0</v>
      </c>
      <c r="BN485">
        <v>3209.98</v>
      </c>
      <c r="BO485">
        <v>513.59</v>
      </c>
      <c r="BP485">
        <v>128.38999999999999</v>
      </c>
      <c r="BQ485">
        <f t="shared" si="7"/>
        <v>3595.1800000000003</v>
      </c>
      <c r="BR485" t="s">
        <v>560</v>
      </c>
    </row>
    <row r="486" spans="1:70">
      <c r="A486" t="s">
        <v>2241</v>
      </c>
      <c r="B486" t="s">
        <v>2242</v>
      </c>
      <c r="C486" t="s">
        <v>71</v>
      </c>
      <c r="D486" t="s">
        <v>289</v>
      </c>
      <c r="E486" t="s">
        <v>73</v>
      </c>
      <c r="F486" t="s">
        <v>74</v>
      </c>
      <c r="G486">
        <v>241530</v>
      </c>
      <c r="H486" t="s">
        <v>74</v>
      </c>
      <c r="I486" t="s">
        <v>75</v>
      </c>
      <c r="J486" t="s">
        <v>74</v>
      </c>
      <c r="K486" t="s">
        <v>2243</v>
      </c>
      <c r="L486" t="s">
        <v>77</v>
      </c>
      <c r="M486" t="s">
        <v>78</v>
      </c>
      <c r="N486" t="s">
        <v>1522</v>
      </c>
      <c r="O486" t="s">
        <v>2244</v>
      </c>
      <c r="P486" t="s">
        <v>2240</v>
      </c>
      <c r="Z486">
        <v>2</v>
      </c>
      <c r="AF486" t="s">
        <v>339</v>
      </c>
      <c r="AG486" t="s">
        <v>296</v>
      </c>
      <c r="AH486" t="s">
        <v>339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0.3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327.7</v>
      </c>
      <c r="BE486">
        <v>0</v>
      </c>
      <c r="BF486">
        <v>80</v>
      </c>
      <c r="BG486">
        <v>0</v>
      </c>
      <c r="BH486">
        <v>0</v>
      </c>
      <c r="BI486">
        <v>16</v>
      </c>
      <c r="BJ486">
        <v>0</v>
      </c>
      <c r="BK486">
        <v>0</v>
      </c>
      <c r="BL486">
        <v>0</v>
      </c>
      <c r="BM486">
        <v>0</v>
      </c>
      <c r="BN486">
        <v>424</v>
      </c>
      <c r="BO486">
        <v>67.84</v>
      </c>
      <c r="BP486">
        <v>16.96</v>
      </c>
      <c r="BQ486">
        <f t="shared" si="7"/>
        <v>474.88000000000005</v>
      </c>
      <c r="BR486" t="s">
        <v>365</v>
      </c>
    </row>
    <row r="487" spans="1:70">
      <c r="A487" t="s">
        <v>2245</v>
      </c>
      <c r="B487" t="s">
        <v>2246</v>
      </c>
      <c r="C487" t="s">
        <v>71</v>
      </c>
      <c r="D487" t="s">
        <v>289</v>
      </c>
      <c r="E487" t="s">
        <v>73</v>
      </c>
      <c r="F487" t="s">
        <v>74</v>
      </c>
      <c r="G487">
        <v>241547</v>
      </c>
      <c r="H487" t="s">
        <v>74</v>
      </c>
      <c r="I487" t="s">
        <v>75</v>
      </c>
      <c r="J487" t="s">
        <v>74</v>
      </c>
      <c r="K487" t="s">
        <v>2247</v>
      </c>
      <c r="L487" t="s">
        <v>77</v>
      </c>
      <c r="M487" t="s">
        <v>78</v>
      </c>
      <c r="N487" t="s">
        <v>239</v>
      </c>
      <c r="O487" t="s">
        <v>2248</v>
      </c>
      <c r="P487" t="s">
        <v>2240</v>
      </c>
      <c r="X487">
        <v>27</v>
      </c>
      <c r="AF487" t="s">
        <v>868</v>
      </c>
      <c r="AG487" t="s">
        <v>296</v>
      </c>
      <c r="AH487" t="s">
        <v>868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4.05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417.15</v>
      </c>
      <c r="BE487">
        <v>0</v>
      </c>
      <c r="BF487">
        <v>1080</v>
      </c>
      <c r="BG487">
        <v>0</v>
      </c>
      <c r="BH487">
        <v>0</v>
      </c>
      <c r="BI487">
        <v>216</v>
      </c>
      <c r="BJ487">
        <v>0</v>
      </c>
      <c r="BK487">
        <v>0</v>
      </c>
      <c r="BL487">
        <v>0</v>
      </c>
      <c r="BM487">
        <v>0</v>
      </c>
      <c r="BN487">
        <v>1717.2</v>
      </c>
      <c r="BO487">
        <v>274.75</v>
      </c>
      <c r="BP487">
        <v>68.69</v>
      </c>
      <c r="BQ487">
        <f t="shared" si="7"/>
        <v>1923.26</v>
      </c>
      <c r="BR487" t="s">
        <v>242</v>
      </c>
    </row>
    <row r="488" spans="1:70">
      <c r="A488" t="s">
        <v>2249</v>
      </c>
      <c r="B488" t="s">
        <v>2250</v>
      </c>
      <c r="C488" t="s">
        <v>71</v>
      </c>
      <c r="D488" t="s">
        <v>289</v>
      </c>
      <c r="E488" t="s">
        <v>73</v>
      </c>
      <c r="F488" t="s">
        <v>74</v>
      </c>
      <c r="G488">
        <v>241525</v>
      </c>
      <c r="H488" t="s">
        <v>74</v>
      </c>
      <c r="I488" t="s">
        <v>75</v>
      </c>
      <c r="J488" t="s">
        <v>74</v>
      </c>
      <c r="K488" t="s">
        <v>2251</v>
      </c>
      <c r="L488" t="s">
        <v>77</v>
      </c>
      <c r="M488" t="s">
        <v>78</v>
      </c>
      <c r="N488" t="s">
        <v>432</v>
      </c>
      <c r="O488" t="s">
        <v>2252</v>
      </c>
      <c r="P488" t="s">
        <v>2240</v>
      </c>
      <c r="X488">
        <v>21</v>
      </c>
      <c r="AF488" t="s">
        <v>684</v>
      </c>
      <c r="AG488" t="s">
        <v>296</v>
      </c>
      <c r="AH488" t="s">
        <v>684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3.15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969.99</v>
      </c>
      <c r="BE488">
        <v>0</v>
      </c>
      <c r="BF488">
        <v>840</v>
      </c>
      <c r="BG488">
        <v>0</v>
      </c>
      <c r="BH488">
        <v>0</v>
      </c>
      <c r="BI488">
        <v>168</v>
      </c>
      <c r="BJ488">
        <v>0</v>
      </c>
      <c r="BK488">
        <v>0</v>
      </c>
      <c r="BL488">
        <v>0</v>
      </c>
      <c r="BM488">
        <v>0</v>
      </c>
      <c r="BN488">
        <v>1981.14</v>
      </c>
      <c r="BO488">
        <v>316.98</v>
      </c>
      <c r="BP488">
        <v>79.25</v>
      </c>
      <c r="BQ488">
        <f t="shared" si="7"/>
        <v>2218.87</v>
      </c>
      <c r="BR488" t="s">
        <v>432</v>
      </c>
    </row>
    <row r="489" spans="1:70">
      <c r="A489" t="s">
        <v>2253</v>
      </c>
      <c r="B489" t="s">
        <v>2254</v>
      </c>
      <c r="C489" t="s">
        <v>71</v>
      </c>
      <c r="D489" t="s">
        <v>289</v>
      </c>
      <c r="E489" t="s">
        <v>73</v>
      </c>
      <c r="F489" t="s">
        <v>74</v>
      </c>
      <c r="G489">
        <v>241440</v>
      </c>
      <c r="H489" t="s">
        <v>74</v>
      </c>
      <c r="I489" t="s">
        <v>75</v>
      </c>
      <c r="J489" t="s">
        <v>74</v>
      </c>
      <c r="K489" t="s">
        <v>2255</v>
      </c>
      <c r="L489" t="s">
        <v>77</v>
      </c>
      <c r="M489" t="s">
        <v>78</v>
      </c>
      <c r="N489" t="s">
        <v>337</v>
      </c>
      <c r="O489" t="s">
        <v>399</v>
      </c>
      <c r="P489" t="s">
        <v>2240</v>
      </c>
      <c r="V489">
        <v>1</v>
      </c>
      <c r="AF489" t="s">
        <v>295</v>
      </c>
      <c r="AG489" t="s">
        <v>296</v>
      </c>
      <c r="AH489" t="s">
        <v>295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0.15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423.55</v>
      </c>
      <c r="BE489">
        <v>0</v>
      </c>
      <c r="BF489">
        <v>40</v>
      </c>
      <c r="BG489">
        <v>0</v>
      </c>
      <c r="BH489">
        <v>0</v>
      </c>
      <c r="BI489">
        <v>8</v>
      </c>
      <c r="BJ489">
        <v>0</v>
      </c>
      <c r="BK489">
        <v>0</v>
      </c>
      <c r="BL489">
        <v>0</v>
      </c>
      <c r="BM489">
        <v>0</v>
      </c>
      <c r="BN489">
        <v>471.7</v>
      </c>
      <c r="BO489">
        <v>75.47</v>
      </c>
      <c r="BP489">
        <v>18.87</v>
      </c>
      <c r="BQ489">
        <f t="shared" si="7"/>
        <v>528.29999999999995</v>
      </c>
      <c r="BR489" t="s">
        <v>337</v>
      </c>
    </row>
    <row r="490" spans="1:70">
      <c r="A490" t="s">
        <v>2256</v>
      </c>
      <c r="B490" t="s">
        <v>2257</v>
      </c>
      <c r="C490" t="s">
        <v>71</v>
      </c>
      <c r="D490" t="s">
        <v>289</v>
      </c>
      <c r="E490" t="s">
        <v>73</v>
      </c>
      <c r="F490" t="s">
        <v>74</v>
      </c>
      <c r="G490">
        <v>241517</v>
      </c>
      <c r="H490" t="s">
        <v>74</v>
      </c>
      <c r="I490" t="s">
        <v>75</v>
      </c>
      <c r="J490" t="s">
        <v>74</v>
      </c>
      <c r="K490" t="s">
        <v>2258</v>
      </c>
      <c r="L490" t="s">
        <v>77</v>
      </c>
      <c r="M490" t="s">
        <v>78</v>
      </c>
      <c r="N490" t="s">
        <v>161</v>
      </c>
      <c r="O490" t="s">
        <v>2259</v>
      </c>
      <c r="P490" t="s">
        <v>2240</v>
      </c>
      <c r="X490">
        <v>13</v>
      </c>
      <c r="AF490" t="s">
        <v>434</v>
      </c>
      <c r="AG490" t="s">
        <v>296</v>
      </c>
      <c r="AH490" t="s">
        <v>434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1.95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200.85</v>
      </c>
      <c r="BE490">
        <v>0</v>
      </c>
      <c r="BF490">
        <v>520</v>
      </c>
      <c r="BG490">
        <v>0</v>
      </c>
      <c r="BH490">
        <v>0</v>
      </c>
      <c r="BI490">
        <v>104</v>
      </c>
      <c r="BJ490">
        <v>0</v>
      </c>
      <c r="BK490">
        <v>0</v>
      </c>
      <c r="BL490">
        <v>0</v>
      </c>
      <c r="BM490">
        <v>0</v>
      </c>
      <c r="BN490">
        <v>826.8</v>
      </c>
      <c r="BO490">
        <v>132.29</v>
      </c>
      <c r="BP490">
        <v>33.07</v>
      </c>
      <c r="BQ490">
        <f t="shared" si="7"/>
        <v>926.01999999999987</v>
      </c>
      <c r="BR490" t="s">
        <v>83</v>
      </c>
    </row>
    <row r="491" spans="1:70">
      <c r="A491" t="s">
        <v>2260</v>
      </c>
      <c r="B491" t="s">
        <v>2261</v>
      </c>
      <c r="C491" t="s">
        <v>71</v>
      </c>
      <c r="D491" t="s">
        <v>289</v>
      </c>
      <c r="E491" t="s">
        <v>73</v>
      </c>
      <c r="F491" t="s">
        <v>74</v>
      </c>
      <c r="G491">
        <v>241469</v>
      </c>
      <c r="H491" t="s">
        <v>74</v>
      </c>
      <c r="I491" t="s">
        <v>75</v>
      </c>
      <c r="J491" t="s">
        <v>74</v>
      </c>
      <c r="K491" t="s">
        <v>2262</v>
      </c>
      <c r="L491" t="s">
        <v>77</v>
      </c>
      <c r="M491" t="s">
        <v>78</v>
      </c>
      <c r="N491" t="s">
        <v>2263</v>
      </c>
      <c r="O491" t="s">
        <v>2264</v>
      </c>
      <c r="P491" t="s">
        <v>2240</v>
      </c>
      <c r="V491">
        <v>1</v>
      </c>
      <c r="AF491" t="s">
        <v>295</v>
      </c>
      <c r="AG491" t="s">
        <v>296</v>
      </c>
      <c r="AH491" t="s">
        <v>295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0.15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375.85</v>
      </c>
      <c r="BE491">
        <v>0</v>
      </c>
      <c r="BF491">
        <v>40</v>
      </c>
      <c r="BG491">
        <v>0</v>
      </c>
      <c r="BH491">
        <v>0</v>
      </c>
      <c r="BI491">
        <v>8</v>
      </c>
      <c r="BJ491">
        <v>0</v>
      </c>
      <c r="BK491">
        <v>0</v>
      </c>
      <c r="BL491">
        <v>0</v>
      </c>
      <c r="BM491">
        <v>0</v>
      </c>
      <c r="BN491">
        <v>424</v>
      </c>
      <c r="BO491">
        <v>67.84</v>
      </c>
      <c r="BP491">
        <v>16.96</v>
      </c>
      <c r="BQ491">
        <f t="shared" si="7"/>
        <v>474.88000000000005</v>
      </c>
      <c r="BR491" t="s">
        <v>83</v>
      </c>
    </row>
    <row r="492" spans="1:70">
      <c r="A492" t="s">
        <v>2265</v>
      </c>
      <c r="B492" t="s">
        <v>2266</v>
      </c>
      <c r="C492" t="s">
        <v>71</v>
      </c>
      <c r="D492" t="s">
        <v>289</v>
      </c>
      <c r="E492" t="s">
        <v>73</v>
      </c>
      <c r="F492" t="s">
        <v>74</v>
      </c>
      <c r="G492">
        <v>241462</v>
      </c>
      <c r="H492" t="s">
        <v>74</v>
      </c>
      <c r="I492" t="s">
        <v>75</v>
      </c>
      <c r="J492" t="s">
        <v>74</v>
      </c>
      <c r="K492" t="s">
        <v>2267</v>
      </c>
      <c r="L492" t="s">
        <v>77</v>
      </c>
      <c r="M492" t="s">
        <v>78</v>
      </c>
      <c r="N492" t="s">
        <v>1427</v>
      </c>
      <c r="O492" t="s">
        <v>2268</v>
      </c>
      <c r="P492" t="s">
        <v>2240</v>
      </c>
      <c r="X492">
        <v>10</v>
      </c>
      <c r="AF492" t="s">
        <v>372</v>
      </c>
      <c r="AG492" t="s">
        <v>296</v>
      </c>
      <c r="AH492" t="s">
        <v>372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1.5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154.5</v>
      </c>
      <c r="BE492">
        <v>0</v>
      </c>
      <c r="BF492">
        <v>400</v>
      </c>
      <c r="BG492">
        <v>0</v>
      </c>
      <c r="BH492">
        <v>0</v>
      </c>
      <c r="BI492">
        <v>80</v>
      </c>
      <c r="BJ492">
        <v>0</v>
      </c>
      <c r="BK492">
        <v>0</v>
      </c>
      <c r="BL492">
        <v>0</v>
      </c>
      <c r="BM492">
        <v>0</v>
      </c>
      <c r="BN492">
        <v>636</v>
      </c>
      <c r="BO492">
        <v>101.76</v>
      </c>
      <c r="BP492">
        <v>25.44</v>
      </c>
      <c r="BQ492">
        <f t="shared" si="7"/>
        <v>712.31999999999994</v>
      </c>
      <c r="BR492" t="s">
        <v>1429</v>
      </c>
    </row>
    <row r="493" spans="1:70">
      <c r="A493" t="s">
        <v>2269</v>
      </c>
      <c r="B493" t="s">
        <v>2270</v>
      </c>
      <c r="C493" t="s">
        <v>71</v>
      </c>
      <c r="D493" t="s">
        <v>289</v>
      </c>
      <c r="E493" t="s">
        <v>73</v>
      </c>
      <c r="F493" t="s">
        <v>74</v>
      </c>
      <c r="G493">
        <v>241556</v>
      </c>
      <c r="H493" t="s">
        <v>74</v>
      </c>
      <c r="I493" t="s">
        <v>75</v>
      </c>
      <c r="J493" t="s">
        <v>74</v>
      </c>
      <c r="K493" t="s">
        <v>2271</v>
      </c>
      <c r="L493" t="s">
        <v>77</v>
      </c>
      <c r="M493" t="s">
        <v>78</v>
      </c>
      <c r="N493" t="s">
        <v>404</v>
      </c>
      <c r="O493" t="s">
        <v>417</v>
      </c>
      <c r="P493" t="s">
        <v>2240</v>
      </c>
      <c r="X493">
        <v>10</v>
      </c>
      <c r="AF493" t="s">
        <v>372</v>
      </c>
      <c r="AG493" t="s">
        <v>296</v>
      </c>
      <c r="AH493" t="s">
        <v>372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1.5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154.5</v>
      </c>
      <c r="BE493">
        <v>0</v>
      </c>
      <c r="BF493">
        <v>400</v>
      </c>
      <c r="BG493">
        <v>0</v>
      </c>
      <c r="BH493">
        <v>0</v>
      </c>
      <c r="BI493">
        <v>80</v>
      </c>
      <c r="BJ493">
        <v>0</v>
      </c>
      <c r="BK493">
        <v>0</v>
      </c>
      <c r="BL493">
        <v>0</v>
      </c>
      <c r="BM493">
        <v>0</v>
      </c>
      <c r="BN493">
        <v>636</v>
      </c>
      <c r="BO493">
        <v>101.76</v>
      </c>
      <c r="BP493">
        <v>25.44</v>
      </c>
      <c r="BQ493">
        <f t="shared" si="7"/>
        <v>712.31999999999994</v>
      </c>
      <c r="BR493" t="s">
        <v>406</v>
      </c>
    </row>
    <row r="494" spans="1:70">
      <c r="A494" t="s">
        <v>2272</v>
      </c>
      <c r="B494" t="s">
        <v>2273</v>
      </c>
      <c r="C494" t="s">
        <v>71</v>
      </c>
      <c r="D494" t="s">
        <v>289</v>
      </c>
      <c r="E494" t="s">
        <v>73</v>
      </c>
      <c r="F494" t="s">
        <v>74</v>
      </c>
      <c r="G494">
        <v>241532</v>
      </c>
      <c r="H494" t="s">
        <v>74</v>
      </c>
      <c r="I494" t="s">
        <v>75</v>
      </c>
      <c r="J494" t="s">
        <v>74</v>
      </c>
      <c r="K494" t="s">
        <v>2274</v>
      </c>
      <c r="L494" t="s">
        <v>77</v>
      </c>
      <c r="M494" t="s">
        <v>78</v>
      </c>
      <c r="N494" t="s">
        <v>748</v>
      </c>
      <c r="O494" t="s">
        <v>2275</v>
      </c>
      <c r="P494" t="s">
        <v>2240</v>
      </c>
      <c r="X494">
        <v>24</v>
      </c>
      <c r="AF494" t="s">
        <v>1177</v>
      </c>
      <c r="AG494" t="s">
        <v>296</v>
      </c>
      <c r="AH494" t="s">
        <v>1177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3.6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370.8</v>
      </c>
      <c r="BE494">
        <v>0</v>
      </c>
      <c r="BF494">
        <v>960</v>
      </c>
      <c r="BG494">
        <v>0</v>
      </c>
      <c r="BH494">
        <v>0</v>
      </c>
      <c r="BI494">
        <v>192</v>
      </c>
      <c r="BJ494">
        <v>0</v>
      </c>
      <c r="BK494">
        <v>0</v>
      </c>
      <c r="BL494">
        <v>0</v>
      </c>
      <c r="BM494">
        <v>0</v>
      </c>
      <c r="BN494">
        <v>1526.4</v>
      </c>
      <c r="BO494">
        <v>244.23</v>
      </c>
      <c r="BP494">
        <v>61.05</v>
      </c>
      <c r="BQ494">
        <f t="shared" si="7"/>
        <v>1709.5800000000002</v>
      </c>
      <c r="BR494" t="s">
        <v>748</v>
      </c>
    </row>
    <row r="495" spans="1:70">
      <c r="A495" t="s">
        <v>2276</v>
      </c>
      <c r="B495" t="s">
        <v>2277</v>
      </c>
      <c r="C495" t="s">
        <v>71</v>
      </c>
      <c r="D495" t="s">
        <v>289</v>
      </c>
      <c r="E495" t="s">
        <v>73</v>
      </c>
      <c r="F495" t="s">
        <v>74</v>
      </c>
      <c r="G495">
        <v>241422</v>
      </c>
      <c r="H495" t="s">
        <v>74</v>
      </c>
      <c r="I495" t="s">
        <v>75</v>
      </c>
      <c r="J495" t="s">
        <v>74</v>
      </c>
      <c r="K495" t="s">
        <v>2278</v>
      </c>
      <c r="L495" t="s">
        <v>77</v>
      </c>
      <c r="M495" t="s">
        <v>78</v>
      </c>
      <c r="N495" t="s">
        <v>175</v>
      </c>
      <c r="O495" t="s">
        <v>1641</v>
      </c>
      <c r="P495" t="s">
        <v>2240</v>
      </c>
      <c r="X495">
        <v>30</v>
      </c>
      <c r="AF495" t="s">
        <v>593</v>
      </c>
      <c r="AG495" t="s">
        <v>296</v>
      </c>
      <c r="AH495" t="s">
        <v>593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4.5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1385.7</v>
      </c>
      <c r="BE495">
        <v>0</v>
      </c>
      <c r="BF495">
        <v>1200</v>
      </c>
      <c r="BG495">
        <v>0</v>
      </c>
      <c r="BH495">
        <v>0</v>
      </c>
      <c r="BI495">
        <v>240</v>
      </c>
      <c r="BJ495">
        <v>0</v>
      </c>
      <c r="BK495">
        <v>0</v>
      </c>
      <c r="BL495">
        <v>0</v>
      </c>
      <c r="BM495">
        <v>0</v>
      </c>
      <c r="BN495">
        <v>2830.2</v>
      </c>
      <c r="BO495">
        <v>452.83</v>
      </c>
      <c r="BP495">
        <v>113.21</v>
      </c>
      <c r="BQ495">
        <f t="shared" si="7"/>
        <v>3169.8199999999997</v>
      </c>
      <c r="BR495" t="s">
        <v>175</v>
      </c>
    </row>
    <row r="496" spans="1:70">
      <c r="A496" t="s">
        <v>2279</v>
      </c>
      <c r="B496" t="s">
        <v>2280</v>
      </c>
      <c r="C496" t="s">
        <v>71</v>
      </c>
      <c r="D496" t="s">
        <v>289</v>
      </c>
      <c r="E496" t="s">
        <v>73</v>
      </c>
      <c r="F496" t="s">
        <v>74</v>
      </c>
      <c r="G496">
        <v>241499</v>
      </c>
      <c r="H496" t="s">
        <v>74</v>
      </c>
      <c r="I496" t="s">
        <v>75</v>
      </c>
      <c r="J496" t="s">
        <v>74</v>
      </c>
      <c r="K496" t="s">
        <v>2281</v>
      </c>
      <c r="L496" t="s">
        <v>77</v>
      </c>
      <c r="M496" t="s">
        <v>78</v>
      </c>
      <c r="N496" t="s">
        <v>653</v>
      </c>
      <c r="O496" t="s">
        <v>2282</v>
      </c>
      <c r="P496" t="s">
        <v>2240</v>
      </c>
      <c r="X496">
        <v>15</v>
      </c>
      <c r="AF496" t="s">
        <v>235</v>
      </c>
      <c r="AG496" t="s">
        <v>296</v>
      </c>
      <c r="AH496" t="s">
        <v>235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2.25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231.75</v>
      </c>
      <c r="BE496">
        <v>0</v>
      </c>
      <c r="BF496">
        <v>600</v>
      </c>
      <c r="BG496">
        <v>0</v>
      </c>
      <c r="BH496">
        <v>0</v>
      </c>
      <c r="BI496">
        <v>120</v>
      </c>
      <c r="BJ496">
        <v>0</v>
      </c>
      <c r="BK496">
        <v>0</v>
      </c>
      <c r="BL496">
        <v>0</v>
      </c>
      <c r="BM496">
        <v>0</v>
      </c>
      <c r="BN496">
        <v>954</v>
      </c>
      <c r="BO496">
        <v>152.63999999999999</v>
      </c>
      <c r="BP496">
        <v>38.159999999999997</v>
      </c>
      <c r="BQ496">
        <f t="shared" si="7"/>
        <v>1068.4799999999998</v>
      </c>
      <c r="BR496" t="s">
        <v>119</v>
      </c>
    </row>
    <row r="497" spans="1:70">
      <c r="A497" t="s">
        <v>2283</v>
      </c>
      <c r="B497" t="s">
        <v>2284</v>
      </c>
      <c r="C497" t="s">
        <v>71</v>
      </c>
      <c r="D497" t="s">
        <v>289</v>
      </c>
      <c r="E497" t="s">
        <v>73</v>
      </c>
      <c r="F497" t="s">
        <v>74</v>
      </c>
      <c r="G497">
        <v>241572</v>
      </c>
      <c r="H497" t="s">
        <v>74</v>
      </c>
      <c r="I497" t="s">
        <v>75</v>
      </c>
      <c r="J497" t="s">
        <v>74</v>
      </c>
      <c r="K497" t="s">
        <v>2285</v>
      </c>
      <c r="L497" t="s">
        <v>77</v>
      </c>
      <c r="M497" t="s">
        <v>78</v>
      </c>
      <c r="N497" t="s">
        <v>1167</v>
      </c>
      <c r="O497" t="s">
        <v>422</v>
      </c>
      <c r="P497" t="s">
        <v>2240</v>
      </c>
      <c r="X497">
        <v>10</v>
      </c>
      <c r="AF497" t="s">
        <v>372</v>
      </c>
      <c r="AG497" t="s">
        <v>296</v>
      </c>
      <c r="AH497" t="s">
        <v>372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1.5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461.9</v>
      </c>
      <c r="BE497">
        <v>0</v>
      </c>
      <c r="BF497">
        <v>400</v>
      </c>
      <c r="BG497">
        <v>0</v>
      </c>
      <c r="BH497">
        <v>0</v>
      </c>
      <c r="BI497">
        <v>80</v>
      </c>
      <c r="BJ497">
        <v>0</v>
      </c>
      <c r="BK497">
        <v>0</v>
      </c>
      <c r="BL497">
        <v>0</v>
      </c>
      <c r="BM497">
        <v>0</v>
      </c>
      <c r="BN497">
        <v>943.4</v>
      </c>
      <c r="BO497">
        <v>150.94</v>
      </c>
      <c r="BP497">
        <v>37.74</v>
      </c>
      <c r="BQ497">
        <f t="shared" si="7"/>
        <v>1056.5999999999999</v>
      </c>
      <c r="BR497" t="s">
        <v>1167</v>
      </c>
    </row>
    <row r="498" spans="1:70">
      <c r="A498" t="s">
        <v>2286</v>
      </c>
      <c r="B498" t="s">
        <v>2287</v>
      </c>
      <c r="C498" t="s">
        <v>71</v>
      </c>
      <c r="D498" t="s">
        <v>289</v>
      </c>
      <c r="E498" t="s">
        <v>73</v>
      </c>
      <c r="F498" t="s">
        <v>74</v>
      </c>
      <c r="G498">
        <v>241430</v>
      </c>
      <c r="H498" t="s">
        <v>74</v>
      </c>
      <c r="I498" t="s">
        <v>75</v>
      </c>
      <c r="J498" t="s">
        <v>74</v>
      </c>
      <c r="K498" t="s">
        <v>2288</v>
      </c>
      <c r="L498" t="s">
        <v>77</v>
      </c>
      <c r="M498" t="s">
        <v>78</v>
      </c>
      <c r="N498" t="s">
        <v>1570</v>
      </c>
      <c r="O498" t="s">
        <v>2071</v>
      </c>
      <c r="P498" t="s">
        <v>2240</v>
      </c>
      <c r="X498">
        <v>30</v>
      </c>
      <c r="AF498" t="s">
        <v>593</v>
      </c>
      <c r="AG498" t="s">
        <v>296</v>
      </c>
      <c r="AH498" t="s">
        <v>593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4.5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1385.7</v>
      </c>
      <c r="BE498">
        <v>0</v>
      </c>
      <c r="BF498">
        <v>1200</v>
      </c>
      <c r="BG498">
        <v>0</v>
      </c>
      <c r="BH498">
        <v>0</v>
      </c>
      <c r="BI498">
        <v>240</v>
      </c>
      <c r="BJ498">
        <v>0</v>
      </c>
      <c r="BK498">
        <v>0</v>
      </c>
      <c r="BL498">
        <v>0</v>
      </c>
      <c r="BM498">
        <v>0</v>
      </c>
      <c r="BN498">
        <v>2830.2</v>
      </c>
      <c r="BO498">
        <v>452.83</v>
      </c>
      <c r="BP498">
        <v>113.21</v>
      </c>
      <c r="BQ498">
        <f t="shared" si="7"/>
        <v>3169.8199999999997</v>
      </c>
      <c r="BR498" t="s">
        <v>1570</v>
      </c>
    </row>
    <row r="499" spans="1:70">
      <c r="A499" t="s">
        <v>2289</v>
      </c>
      <c r="B499" t="s">
        <v>2290</v>
      </c>
      <c r="C499" t="s">
        <v>71</v>
      </c>
      <c r="D499" t="s">
        <v>289</v>
      </c>
      <c r="E499" t="s">
        <v>73</v>
      </c>
      <c r="F499" t="s">
        <v>74</v>
      </c>
      <c r="G499">
        <v>241571</v>
      </c>
      <c r="H499" t="s">
        <v>74</v>
      </c>
      <c r="I499" t="s">
        <v>75</v>
      </c>
      <c r="J499" t="s">
        <v>74</v>
      </c>
      <c r="K499" t="s">
        <v>2291</v>
      </c>
      <c r="L499" t="s">
        <v>77</v>
      </c>
      <c r="M499" t="s">
        <v>78</v>
      </c>
      <c r="N499" t="s">
        <v>83</v>
      </c>
      <c r="O499" t="s">
        <v>578</v>
      </c>
      <c r="P499" t="s">
        <v>2240</v>
      </c>
      <c r="X499">
        <v>18</v>
      </c>
      <c r="AF499" t="s">
        <v>395</v>
      </c>
      <c r="AG499" t="s">
        <v>296</v>
      </c>
      <c r="AH499" t="s">
        <v>395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2.7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278.10000000000002</v>
      </c>
      <c r="BE499">
        <v>0</v>
      </c>
      <c r="BF499">
        <v>720</v>
      </c>
      <c r="BG499">
        <v>0</v>
      </c>
      <c r="BH499">
        <v>0</v>
      </c>
      <c r="BI499">
        <v>144</v>
      </c>
      <c r="BJ499">
        <v>0</v>
      </c>
      <c r="BK499">
        <v>0</v>
      </c>
      <c r="BL499">
        <v>0</v>
      </c>
      <c r="BM499">
        <v>0</v>
      </c>
      <c r="BN499">
        <v>1144.8</v>
      </c>
      <c r="BO499">
        <v>183.17</v>
      </c>
      <c r="BP499">
        <v>45.79</v>
      </c>
      <c r="BQ499">
        <f t="shared" si="7"/>
        <v>1282.18</v>
      </c>
      <c r="BR499" t="s">
        <v>83</v>
      </c>
    </row>
    <row r="500" spans="1:70">
      <c r="A500" t="s">
        <v>2292</v>
      </c>
      <c r="B500" t="s">
        <v>2293</v>
      </c>
      <c r="C500" t="s">
        <v>71</v>
      </c>
      <c r="D500" t="s">
        <v>289</v>
      </c>
      <c r="E500" t="s">
        <v>73</v>
      </c>
      <c r="F500" t="s">
        <v>74</v>
      </c>
      <c r="G500">
        <v>241561</v>
      </c>
      <c r="H500" t="s">
        <v>74</v>
      </c>
      <c r="I500" t="s">
        <v>75</v>
      </c>
      <c r="J500" t="s">
        <v>74</v>
      </c>
      <c r="K500" t="s">
        <v>2294</v>
      </c>
      <c r="L500" t="s">
        <v>77</v>
      </c>
      <c r="M500" t="s">
        <v>78</v>
      </c>
      <c r="N500" t="s">
        <v>461</v>
      </c>
      <c r="O500" t="s">
        <v>462</v>
      </c>
      <c r="P500" t="s">
        <v>2240</v>
      </c>
      <c r="X500">
        <v>30</v>
      </c>
      <c r="AF500" t="s">
        <v>593</v>
      </c>
      <c r="AG500" t="s">
        <v>296</v>
      </c>
      <c r="AH500" t="s">
        <v>593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4.5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463.5</v>
      </c>
      <c r="BE500">
        <v>0</v>
      </c>
      <c r="BF500">
        <v>1200</v>
      </c>
      <c r="BG500">
        <v>0</v>
      </c>
      <c r="BH500">
        <v>0</v>
      </c>
      <c r="BI500">
        <v>240</v>
      </c>
      <c r="BJ500">
        <v>0</v>
      </c>
      <c r="BK500">
        <v>0</v>
      </c>
      <c r="BL500">
        <v>0</v>
      </c>
      <c r="BM500">
        <v>0</v>
      </c>
      <c r="BN500">
        <v>1908</v>
      </c>
      <c r="BO500">
        <v>305.27999999999997</v>
      </c>
      <c r="BP500">
        <v>76.319999999999993</v>
      </c>
      <c r="BQ500">
        <f t="shared" si="7"/>
        <v>2136.9599999999996</v>
      </c>
      <c r="BR500" t="s">
        <v>83</v>
      </c>
    </row>
    <row r="501" spans="1:70">
      <c r="A501" t="s">
        <v>2295</v>
      </c>
      <c r="B501" t="s">
        <v>2296</v>
      </c>
      <c r="C501" t="s">
        <v>71</v>
      </c>
      <c r="D501" t="s">
        <v>289</v>
      </c>
      <c r="E501" t="s">
        <v>73</v>
      </c>
      <c r="F501" t="s">
        <v>74</v>
      </c>
      <c r="G501">
        <v>241573</v>
      </c>
      <c r="H501" t="s">
        <v>74</v>
      </c>
      <c r="I501" t="s">
        <v>75</v>
      </c>
      <c r="J501" t="s">
        <v>74</v>
      </c>
      <c r="K501" t="s">
        <v>2297</v>
      </c>
      <c r="L501" t="s">
        <v>77</v>
      </c>
      <c r="M501" t="s">
        <v>78</v>
      </c>
      <c r="N501" t="s">
        <v>421</v>
      </c>
      <c r="O501" t="s">
        <v>2298</v>
      </c>
      <c r="P501" t="s">
        <v>2240</v>
      </c>
      <c r="X501">
        <v>10</v>
      </c>
      <c r="AF501" t="s">
        <v>372</v>
      </c>
      <c r="AG501" t="s">
        <v>296</v>
      </c>
      <c r="AH501" t="s">
        <v>372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1.5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461.9</v>
      </c>
      <c r="BE501">
        <v>0</v>
      </c>
      <c r="BF501">
        <v>400</v>
      </c>
      <c r="BG501">
        <v>0</v>
      </c>
      <c r="BH501">
        <v>0</v>
      </c>
      <c r="BI501">
        <v>80</v>
      </c>
      <c r="BJ501">
        <v>0</v>
      </c>
      <c r="BK501">
        <v>0</v>
      </c>
      <c r="BL501">
        <v>0</v>
      </c>
      <c r="BM501">
        <v>0</v>
      </c>
      <c r="BN501">
        <v>943.4</v>
      </c>
      <c r="BO501">
        <v>150.94</v>
      </c>
      <c r="BP501">
        <v>37.74</v>
      </c>
      <c r="BQ501">
        <f t="shared" si="7"/>
        <v>1056.5999999999999</v>
      </c>
      <c r="BR501" t="s">
        <v>423</v>
      </c>
    </row>
    <row r="502" spans="1:70">
      <c r="A502" t="s">
        <v>2299</v>
      </c>
      <c r="B502" t="s">
        <v>2300</v>
      </c>
      <c r="C502" t="s">
        <v>71</v>
      </c>
      <c r="D502" t="s">
        <v>289</v>
      </c>
      <c r="E502" t="s">
        <v>73</v>
      </c>
      <c r="F502" t="s">
        <v>74</v>
      </c>
      <c r="G502">
        <v>241550</v>
      </c>
      <c r="H502" t="s">
        <v>74</v>
      </c>
      <c r="I502" t="s">
        <v>75</v>
      </c>
      <c r="J502" t="s">
        <v>74</v>
      </c>
      <c r="K502" t="s">
        <v>2301</v>
      </c>
      <c r="L502" t="s">
        <v>77</v>
      </c>
      <c r="M502" t="s">
        <v>78</v>
      </c>
      <c r="N502" t="s">
        <v>137</v>
      </c>
      <c r="O502" t="s">
        <v>2302</v>
      </c>
      <c r="P502" t="s">
        <v>2240</v>
      </c>
      <c r="X502">
        <v>17</v>
      </c>
      <c r="AF502" t="s">
        <v>464</v>
      </c>
      <c r="AG502" t="s">
        <v>296</v>
      </c>
      <c r="AH502" t="s">
        <v>464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2.5499999999999998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785.23</v>
      </c>
      <c r="BE502">
        <v>0</v>
      </c>
      <c r="BF502">
        <v>680</v>
      </c>
      <c r="BG502">
        <v>0</v>
      </c>
      <c r="BH502">
        <v>0</v>
      </c>
      <c r="BI502">
        <v>136</v>
      </c>
      <c r="BJ502">
        <v>0</v>
      </c>
      <c r="BK502">
        <v>0</v>
      </c>
      <c r="BL502">
        <v>0</v>
      </c>
      <c r="BM502">
        <v>0</v>
      </c>
      <c r="BN502">
        <v>1603.78</v>
      </c>
      <c r="BO502">
        <v>256.61</v>
      </c>
      <c r="BP502">
        <v>64.150000000000006</v>
      </c>
      <c r="BQ502">
        <f t="shared" si="7"/>
        <v>1796.2399999999998</v>
      </c>
      <c r="BR502" t="s">
        <v>141</v>
      </c>
    </row>
    <row r="503" spans="1:70">
      <c r="A503" t="s">
        <v>2303</v>
      </c>
      <c r="B503" t="s">
        <v>2304</v>
      </c>
      <c r="C503" t="s">
        <v>71</v>
      </c>
      <c r="D503" t="s">
        <v>289</v>
      </c>
      <c r="E503" t="s">
        <v>73</v>
      </c>
      <c r="F503" t="s">
        <v>74</v>
      </c>
      <c r="G503">
        <v>241467</v>
      </c>
      <c r="H503" t="s">
        <v>74</v>
      </c>
      <c r="I503" t="s">
        <v>75</v>
      </c>
      <c r="J503" t="s">
        <v>74</v>
      </c>
      <c r="K503" t="s">
        <v>2305</v>
      </c>
      <c r="L503" t="s">
        <v>77</v>
      </c>
      <c r="M503" t="s">
        <v>78</v>
      </c>
      <c r="N503" t="s">
        <v>406</v>
      </c>
      <c r="O503" t="s">
        <v>2306</v>
      </c>
      <c r="P503" t="s">
        <v>2240</v>
      </c>
      <c r="X503">
        <v>7</v>
      </c>
      <c r="AF503" t="s">
        <v>345</v>
      </c>
      <c r="AG503" t="s">
        <v>296</v>
      </c>
      <c r="AH503" t="s">
        <v>345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1.05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108.15</v>
      </c>
      <c r="BE503">
        <v>0</v>
      </c>
      <c r="BF503">
        <v>280</v>
      </c>
      <c r="BG503">
        <v>0</v>
      </c>
      <c r="BH503">
        <v>0</v>
      </c>
      <c r="BI503">
        <v>56</v>
      </c>
      <c r="BJ503">
        <v>0</v>
      </c>
      <c r="BK503">
        <v>0</v>
      </c>
      <c r="BL503">
        <v>0</v>
      </c>
      <c r="BM503">
        <v>0</v>
      </c>
      <c r="BN503">
        <v>445.2</v>
      </c>
      <c r="BO503">
        <v>71.23</v>
      </c>
      <c r="BP503">
        <v>17.809999999999999</v>
      </c>
      <c r="BQ503">
        <f t="shared" si="7"/>
        <v>498.61999999999995</v>
      </c>
      <c r="BR503" t="s">
        <v>406</v>
      </c>
    </row>
    <row r="504" spans="1:70">
      <c r="A504" t="s">
        <v>2307</v>
      </c>
      <c r="B504" t="s">
        <v>2308</v>
      </c>
      <c r="C504" t="s">
        <v>71</v>
      </c>
      <c r="D504" t="s">
        <v>289</v>
      </c>
      <c r="E504" t="s">
        <v>73</v>
      </c>
      <c r="F504" t="s">
        <v>74</v>
      </c>
      <c r="G504">
        <v>241418</v>
      </c>
      <c r="H504" t="s">
        <v>74</v>
      </c>
      <c r="I504" t="s">
        <v>75</v>
      </c>
      <c r="J504" t="s">
        <v>74</v>
      </c>
      <c r="K504" t="s">
        <v>2309</v>
      </c>
      <c r="L504" t="s">
        <v>77</v>
      </c>
      <c r="M504" t="s">
        <v>78</v>
      </c>
      <c r="N504" t="s">
        <v>950</v>
      </c>
      <c r="O504" t="s">
        <v>2310</v>
      </c>
      <c r="P504" t="s">
        <v>2240</v>
      </c>
      <c r="X504">
        <v>10</v>
      </c>
      <c r="AF504" t="s">
        <v>372</v>
      </c>
      <c r="AG504" t="s">
        <v>296</v>
      </c>
      <c r="AH504" t="s">
        <v>372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1.5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154.5</v>
      </c>
      <c r="BE504">
        <v>0</v>
      </c>
      <c r="BF504">
        <v>400</v>
      </c>
      <c r="BG504">
        <v>0</v>
      </c>
      <c r="BH504">
        <v>0</v>
      </c>
      <c r="BI504">
        <v>80</v>
      </c>
      <c r="BJ504">
        <v>0</v>
      </c>
      <c r="BK504">
        <v>0</v>
      </c>
      <c r="BL504">
        <v>0</v>
      </c>
      <c r="BM504">
        <v>0</v>
      </c>
      <c r="BN504">
        <v>636</v>
      </c>
      <c r="BO504">
        <v>101.76</v>
      </c>
      <c r="BP504">
        <v>25.44</v>
      </c>
      <c r="BQ504">
        <f t="shared" si="7"/>
        <v>712.31999999999994</v>
      </c>
      <c r="BR504" t="s">
        <v>950</v>
      </c>
    </row>
    <row r="505" spans="1:70">
      <c r="A505" t="s">
        <v>2311</v>
      </c>
      <c r="B505" t="s">
        <v>2312</v>
      </c>
      <c r="C505" t="s">
        <v>71</v>
      </c>
      <c r="D505" t="s">
        <v>289</v>
      </c>
      <c r="E505" t="s">
        <v>73</v>
      </c>
      <c r="F505" t="s">
        <v>74</v>
      </c>
      <c r="G505">
        <v>241421</v>
      </c>
      <c r="H505" t="s">
        <v>74</v>
      </c>
      <c r="I505" t="s">
        <v>75</v>
      </c>
      <c r="J505" t="s">
        <v>74</v>
      </c>
      <c r="K505" t="s">
        <v>2313</v>
      </c>
      <c r="L505" t="s">
        <v>77</v>
      </c>
      <c r="M505" t="s">
        <v>78</v>
      </c>
      <c r="N505" t="s">
        <v>92</v>
      </c>
      <c r="O505" t="s">
        <v>2314</v>
      </c>
      <c r="P505" t="s">
        <v>2240</v>
      </c>
      <c r="X505">
        <v>10</v>
      </c>
      <c r="AF505" t="s">
        <v>372</v>
      </c>
      <c r="AG505" t="s">
        <v>296</v>
      </c>
      <c r="AH505" t="s">
        <v>372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1.5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154.5</v>
      </c>
      <c r="BE505">
        <v>0</v>
      </c>
      <c r="BF505">
        <v>400</v>
      </c>
      <c r="BG505">
        <v>0</v>
      </c>
      <c r="BH505">
        <v>0</v>
      </c>
      <c r="BI505">
        <v>80</v>
      </c>
      <c r="BJ505">
        <v>0</v>
      </c>
      <c r="BK505">
        <v>0</v>
      </c>
      <c r="BL505">
        <v>0</v>
      </c>
      <c r="BM505">
        <v>0</v>
      </c>
      <c r="BN505">
        <v>636</v>
      </c>
      <c r="BO505">
        <v>101.76</v>
      </c>
      <c r="BP505">
        <v>25.44</v>
      </c>
      <c r="BQ505">
        <f t="shared" si="7"/>
        <v>712.31999999999994</v>
      </c>
      <c r="BR505" t="s">
        <v>371</v>
      </c>
    </row>
    <row r="506" spans="1:70">
      <c r="A506" t="s">
        <v>2315</v>
      </c>
      <c r="B506" t="s">
        <v>2316</v>
      </c>
      <c r="C506" t="s">
        <v>71</v>
      </c>
      <c r="D506" t="s">
        <v>289</v>
      </c>
      <c r="E506" t="s">
        <v>73</v>
      </c>
      <c r="F506" t="s">
        <v>74</v>
      </c>
      <c r="G506" t="s">
        <v>74</v>
      </c>
      <c r="H506" t="s">
        <v>74</v>
      </c>
      <c r="I506" t="s">
        <v>75</v>
      </c>
      <c r="J506" t="s">
        <v>74</v>
      </c>
      <c r="K506" t="s">
        <v>2317</v>
      </c>
      <c r="L506" t="s">
        <v>77</v>
      </c>
      <c r="M506" t="s">
        <v>78</v>
      </c>
      <c r="N506" t="s">
        <v>330</v>
      </c>
      <c r="O506" t="s">
        <v>568</v>
      </c>
      <c r="P506" t="s">
        <v>2240</v>
      </c>
      <c r="X506">
        <v>23</v>
      </c>
      <c r="AF506" t="s">
        <v>428</v>
      </c>
      <c r="AG506" t="s">
        <v>296</v>
      </c>
      <c r="AH506" t="s">
        <v>428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3.45</v>
      </c>
      <c r="AT506">
        <v>0</v>
      </c>
      <c r="AU506">
        <v>0</v>
      </c>
      <c r="AV506">
        <v>0</v>
      </c>
      <c r="AW506">
        <v>0</v>
      </c>
      <c r="AX506">
        <v>0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1062.3699999999999</v>
      </c>
      <c r="BE506">
        <v>0</v>
      </c>
      <c r="BF506">
        <v>920</v>
      </c>
      <c r="BG506">
        <v>0</v>
      </c>
      <c r="BH506">
        <v>0</v>
      </c>
      <c r="BI506">
        <v>184</v>
      </c>
      <c r="BJ506">
        <v>0</v>
      </c>
      <c r="BK506">
        <v>0</v>
      </c>
      <c r="BL506">
        <v>0</v>
      </c>
      <c r="BM506">
        <v>0</v>
      </c>
      <c r="BN506">
        <v>2169.8200000000002</v>
      </c>
      <c r="BO506">
        <v>347.17</v>
      </c>
      <c r="BP506">
        <v>86.79</v>
      </c>
      <c r="BQ506">
        <f t="shared" si="7"/>
        <v>2430.2000000000003</v>
      </c>
      <c r="BR506" t="s">
        <v>332</v>
      </c>
    </row>
    <row r="507" spans="1:70">
      <c r="A507" t="s">
        <v>2318</v>
      </c>
      <c r="B507" t="s">
        <v>2319</v>
      </c>
      <c r="C507" t="s">
        <v>71</v>
      </c>
      <c r="D507" t="s">
        <v>289</v>
      </c>
      <c r="E507" t="s">
        <v>73</v>
      </c>
      <c r="F507" t="s">
        <v>74</v>
      </c>
      <c r="G507">
        <v>241455</v>
      </c>
      <c r="H507" t="s">
        <v>74</v>
      </c>
      <c r="I507" t="s">
        <v>75</v>
      </c>
      <c r="J507" t="s">
        <v>74</v>
      </c>
      <c r="K507" t="s">
        <v>2320</v>
      </c>
      <c r="L507" t="s">
        <v>77</v>
      </c>
      <c r="M507" t="s">
        <v>78</v>
      </c>
      <c r="N507" t="s">
        <v>365</v>
      </c>
      <c r="O507" t="s">
        <v>1395</v>
      </c>
      <c r="P507" t="s">
        <v>2240</v>
      </c>
      <c r="X507">
        <v>5</v>
      </c>
      <c r="AF507" t="s">
        <v>333</v>
      </c>
      <c r="AG507" t="s">
        <v>296</v>
      </c>
      <c r="AH507" t="s">
        <v>333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0.75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0</v>
      </c>
      <c r="BC507">
        <v>0</v>
      </c>
      <c r="BD507">
        <v>77.25</v>
      </c>
      <c r="BE507">
        <v>0</v>
      </c>
      <c r="BF507">
        <v>200</v>
      </c>
      <c r="BG507">
        <v>0</v>
      </c>
      <c r="BH507">
        <v>0</v>
      </c>
      <c r="BI507">
        <v>40</v>
      </c>
      <c r="BJ507">
        <v>0</v>
      </c>
      <c r="BK507">
        <v>0</v>
      </c>
      <c r="BL507">
        <v>0</v>
      </c>
      <c r="BM507">
        <v>0</v>
      </c>
      <c r="BN507">
        <v>318</v>
      </c>
      <c r="BO507">
        <v>50.88</v>
      </c>
      <c r="BP507">
        <v>12.72</v>
      </c>
      <c r="BQ507">
        <f t="shared" si="7"/>
        <v>356.15999999999997</v>
      </c>
      <c r="BR507" t="s">
        <v>365</v>
      </c>
    </row>
    <row r="508" spans="1:70">
      <c r="A508" t="s">
        <v>2321</v>
      </c>
      <c r="B508" t="s">
        <v>2322</v>
      </c>
      <c r="C508" t="s">
        <v>71</v>
      </c>
      <c r="D508" t="s">
        <v>289</v>
      </c>
      <c r="E508" t="s">
        <v>73</v>
      </c>
      <c r="F508" t="s">
        <v>74</v>
      </c>
      <c r="G508">
        <v>241570</v>
      </c>
      <c r="H508" t="s">
        <v>74</v>
      </c>
      <c r="I508" t="s">
        <v>75</v>
      </c>
      <c r="J508" t="s">
        <v>74</v>
      </c>
      <c r="K508" t="s">
        <v>2323</v>
      </c>
      <c r="L508" t="s">
        <v>77</v>
      </c>
      <c r="M508" t="s">
        <v>78</v>
      </c>
      <c r="N508" t="s">
        <v>318</v>
      </c>
      <c r="O508" t="s">
        <v>582</v>
      </c>
      <c r="P508" t="s">
        <v>2240</v>
      </c>
      <c r="X508">
        <v>10</v>
      </c>
      <c r="AF508" t="s">
        <v>372</v>
      </c>
      <c r="AG508" t="s">
        <v>296</v>
      </c>
      <c r="AH508" t="s">
        <v>372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1.5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0</v>
      </c>
      <c r="BB508">
        <v>0</v>
      </c>
      <c r="BC508">
        <v>0</v>
      </c>
      <c r="BD508">
        <v>461.9</v>
      </c>
      <c r="BE508">
        <v>0</v>
      </c>
      <c r="BF508">
        <v>400</v>
      </c>
      <c r="BG508">
        <v>0</v>
      </c>
      <c r="BH508">
        <v>0</v>
      </c>
      <c r="BI508">
        <v>80</v>
      </c>
      <c r="BJ508">
        <v>0</v>
      </c>
      <c r="BK508">
        <v>0</v>
      </c>
      <c r="BL508">
        <v>0</v>
      </c>
      <c r="BM508">
        <v>0</v>
      </c>
      <c r="BN508">
        <v>943.4</v>
      </c>
      <c r="BO508">
        <v>150.94</v>
      </c>
      <c r="BP508">
        <v>37.74</v>
      </c>
      <c r="BQ508">
        <f t="shared" si="7"/>
        <v>1056.5999999999999</v>
      </c>
      <c r="BR508" t="s">
        <v>320</v>
      </c>
    </row>
    <row r="509" spans="1:70">
      <c r="A509" t="s">
        <v>2324</v>
      </c>
      <c r="B509" t="s">
        <v>2325</v>
      </c>
      <c r="C509" t="s">
        <v>71</v>
      </c>
      <c r="D509" t="s">
        <v>289</v>
      </c>
      <c r="E509" t="s">
        <v>73</v>
      </c>
      <c r="F509" t="s">
        <v>74</v>
      </c>
      <c r="G509">
        <v>241553</v>
      </c>
      <c r="H509" t="s">
        <v>74</v>
      </c>
      <c r="I509" t="s">
        <v>75</v>
      </c>
      <c r="J509" t="s">
        <v>74</v>
      </c>
      <c r="K509" t="s">
        <v>2326</v>
      </c>
      <c r="L509" t="s">
        <v>77</v>
      </c>
      <c r="M509" t="s">
        <v>78</v>
      </c>
      <c r="N509" t="s">
        <v>757</v>
      </c>
      <c r="O509" t="s">
        <v>899</v>
      </c>
      <c r="P509" t="s">
        <v>2240</v>
      </c>
      <c r="X509">
        <v>7</v>
      </c>
      <c r="AF509" t="s">
        <v>345</v>
      </c>
      <c r="AG509" t="s">
        <v>296</v>
      </c>
      <c r="AH509" t="s">
        <v>345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1.05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108.15</v>
      </c>
      <c r="BE509">
        <v>0</v>
      </c>
      <c r="BF509">
        <v>280</v>
      </c>
      <c r="BG509">
        <v>0</v>
      </c>
      <c r="BH509">
        <v>0</v>
      </c>
      <c r="BI509">
        <v>56</v>
      </c>
      <c r="BJ509">
        <v>0</v>
      </c>
      <c r="BK509">
        <v>0</v>
      </c>
      <c r="BL509">
        <v>0</v>
      </c>
      <c r="BM509">
        <v>0</v>
      </c>
      <c r="BN509">
        <v>445.2</v>
      </c>
      <c r="BO509">
        <v>71.23</v>
      </c>
      <c r="BP509">
        <v>17.809999999999999</v>
      </c>
      <c r="BQ509">
        <f t="shared" si="7"/>
        <v>498.61999999999995</v>
      </c>
      <c r="BR509" t="s">
        <v>757</v>
      </c>
    </row>
    <row r="510" spans="1:70">
      <c r="A510" t="s">
        <v>2327</v>
      </c>
      <c r="B510" t="s">
        <v>2328</v>
      </c>
      <c r="C510" t="s">
        <v>71</v>
      </c>
      <c r="D510" t="s">
        <v>289</v>
      </c>
      <c r="E510" t="s">
        <v>73</v>
      </c>
      <c r="F510" t="s">
        <v>74</v>
      </c>
      <c r="G510">
        <v>241423</v>
      </c>
      <c r="H510" t="s">
        <v>74</v>
      </c>
      <c r="I510" t="s">
        <v>75</v>
      </c>
      <c r="J510" t="s">
        <v>74</v>
      </c>
      <c r="K510" t="s">
        <v>2329</v>
      </c>
      <c r="L510" t="s">
        <v>77</v>
      </c>
      <c r="M510" t="s">
        <v>78</v>
      </c>
      <c r="N510" t="s">
        <v>343</v>
      </c>
      <c r="O510" t="s">
        <v>2330</v>
      </c>
      <c r="P510" t="s">
        <v>2240</v>
      </c>
      <c r="Z510">
        <v>2</v>
      </c>
      <c r="AF510" t="s">
        <v>339</v>
      </c>
      <c r="AG510" t="s">
        <v>296</v>
      </c>
      <c r="AH510" t="s">
        <v>339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0.3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327.7</v>
      </c>
      <c r="BE510">
        <v>0</v>
      </c>
      <c r="BF510">
        <v>80</v>
      </c>
      <c r="BG510">
        <v>0</v>
      </c>
      <c r="BH510">
        <v>0</v>
      </c>
      <c r="BI510">
        <v>16</v>
      </c>
      <c r="BJ510">
        <v>0</v>
      </c>
      <c r="BK510">
        <v>0</v>
      </c>
      <c r="BL510">
        <v>0</v>
      </c>
      <c r="BM510">
        <v>0</v>
      </c>
      <c r="BN510">
        <v>424</v>
      </c>
      <c r="BO510">
        <v>67.84</v>
      </c>
      <c r="BP510">
        <v>16.96</v>
      </c>
      <c r="BQ510">
        <f t="shared" si="7"/>
        <v>474.88000000000005</v>
      </c>
      <c r="BR510" t="s">
        <v>343</v>
      </c>
    </row>
    <row r="511" spans="1:70">
      <c r="A511" t="s">
        <v>2331</v>
      </c>
      <c r="B511" t="s">
        <v>2332</v>
      </c>
      <c r="C511" t="s">
        <v>71</v>
      </c>
      <c r="D511" t="s">
        <v>289</v>
      </c>
      <c r="E511" t="s">
        <v>73</v>
      </c>
      <c r="F511" t="s">
        <v>74</v>
      </c>
      <c r="G511">
        <v>241419</v>
      </c>
      <c r="H511" t="s">
        <v>74</v>
      </c>
      <c r="I511" t="s">
        <v>75</v>
      </c>
      <c r="J511" t="s">
        <v>74</v>
      </c>
      <c r="K511" t="s">
        <v>2333</v>
      </c>
      <c r="L511" t="s">
        <v>77</v>
      </c>
      <c r="M511" t="s">
        <v>78</v>
      </c>
      <c r="N511" t="s">
        <v>558</v>
      </c>
      <c r="O511" t="s">
        <v>1620</v>
      </c>
      <c r="P511" t="s">
        <v>2240</v>
      </c>
      <c r="AB511">
        <v>3</v>
      </c>
      <c r="AF511" t="s">
        <v>314</v>
      </c>
      <c r="AG511" t="s">
        <v>296</v>
      </c>
      <c r="AH511" t="s">
        <v>314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0.45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327.24</v>
      </c>
      <c r="BE511">
        <v>0</v>
      </c>
      <c r="BF511">
        <v>120</v>
      </c>
      <c r="BG511">
        <v>0</v>
      </c>
      <c r="BH511">
        <v>0</v>
      </c>
      <c r="BI511">
        <v>24</v>
      </c>
      <c r="BJ511">
        <v>0</v>
      </c>
      <c r="BK511">
        <v>0</v>
      </c>
      <c r="BL511">
        <v>0</v>
      </c>
      <c r="BM511">
        <v>0</v>
      </c>
      <c r="BN511">
        <v>471.69</v>
      </c>
      <c r="BO511">
        <v>75.47</v>
      </c>
      <c r="BP511">
        <v>18.87</v>
      </c>
      <c r="BQ511">
        <f t="shared" si="7"/>
        <v>528.29</v>
      </c>
      <c r="BR511" t="s">
        <v>560</v>
      </c>
    </row>
    <row r="512" spans="1:70">
      <c r="A512" t="s">
        <v>2334</v>
      </c>
      <c r="B512" t="s">
        <v>2335</v>
      </c>
      <c r="C512" t="s">
        <v>71</v>
      </c>
      <c r="D512" t="s">
        <v>289</v>
      </c>
      <c r="E512" t="s">
        <v>73</v>
      </c>
      <c r="F512" t="s">
        <v>74</v>
      </c>
      <c r="G512">
        <v>241559</v>
      </c>
      <c r="H512" t="s">
        <v>74</v>
      </c>
      <c r="I512" t="s">
        <v>75</v>
      </c>
      <c r="J512" t="s">
        <v>74</v>
      </c>
      <c r="K512" t="s">
        <v>2336</v>
      </c>
      <c r="L512" t="s">
        <v>77</v>
      </c>
      <c r="M512" t="s">
        <v>78</v>
      </c>
      <c r="N512" t="s">
        <v>591</v>
      </c>
      <c r="O512" t="s">
        <v>592</v>
      </c>
      <c r="P512" t="s">
        <v>2240</v>
      </c>
      <c r="X512">
        <v>27</v>
      </c>
      <c r="AF512" t="s">
        <v>868</v>
      </c>
      <c r="AG512" t="s">
        <v>296</v>
      </c>
      <c r="AH512" t="s">
        <v>868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4.05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1247.1300000000001</v>
      </c>
      <c r="BE512">
        <v>0</v>
      </c>
      <c r="BF512">
        <v>1080</v>
      </c>
      <c r="BG512">
        <v>0</v>
      </c>
      <c r="BH512">
        <v>0</v>
      </c>
      <c r="BI512">
        <v>216</v>
      </c>
      <c r="BJ512">
        <v>0</v>
      </c>
      <c r="BK512">
        <v>0</v>
      </c>
      <c r="BL512">
        <v>0</v>
      </c>
      <c r="BM512">
        <v>0</v>
      </c>
      <c r="BN512">
        <v>2547.1799999999998</v>
      </c>
      <c r="BO512">
        <v>407.55</v>
      </c>
      <c r="BP512">
        <v>101.89</v>
      </c>
      <c r="BQ512">
        <f t="shared" si="7"/>
        <v>2852.84</v>
      </c>
      <c r="BR512" t="s">
        <v>591</v>
      </c>
    </row>
    <row r="513" spans="1:70">
      <c r="A513" t="s">
        <v>2337</v>
      </c>
      <c r="B513" t="s">
        <v>2338</v>
      </c>
      <c r="C513" t="s">
        <v>71</v>
      </c>
      <c r="D513" t="s">
        <v>289</v>
      </c>
      <c r="E513" t="s">
        <v>73</v>
      </c>
      <c r="F513" t="s">
        <v>74</v>
      </c>
      <c r="G513">
        <v>241540</v>
      </c>
      <c r="H513" t="s">
        <v>74</v>
      </c>
      <c r="I513" t="s">
        <v>75</v>
      </c>
      <c r="J513" t="s">
        <v>74</v>
      </c>
      <c r="K513" t="s">
        <v>2339</v>
      </c>
      <c r="L513" t="s">
        <v>77</v>
      </c>
      <c r="M513" t="s">
        <v>78</v>
      </c>
      <c r="N513" t="s">
        <v>832</v>
      </c>
      <c r="O513" t="s">
        <v>1387</v>
      </c>
      <c r="P513" t="s">
        <v>2240</v>
      </c>
      <c r="AB513">
        <v>3</v>
      </c>
      <c r="AF513" t="s">
        <v>314</v>
      </c>
      <c r="AG513" t="s">
        <v>296</v>
      </c>
      <c r="AH513" t="s">
        <v>314</v>
      </c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0.45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279.54000000000002</v>
      </c>
      <c r="BE513">
        <v>0</v>
      </c>
      <c r="BF513">
        <v>120</v>
      </c>
      <c r="BG513">
        <v>0</v>
      </c>
      <c r="BH513">
        <v>0</v>
      </c>
      <c r="BI513">
        <v>24</v>
      </c>
      <c r="BJ513">
        <v>0</v>
      </c>
      <c r="BK513">
        <v>0</v>
      </c>
      <c r="BL513">
        <v>0</v>
      </c>
      <c r="BM513">
        <v>0</v>
      </c>
      <c r="BN513">
        <v>423.99</v>
      </c>
      <c r="BO513">
        <v>67.84</v>
      </c>
      <c r="BP513">
        <v>16.96</v>
      </c>
      <c r="BQ513">
        <f t="shared" si="7"/>
        <v>474.87000000000006</v>
      </c>
      <c r="BR513" t="s">
        <v>832</v>
      </c>
    </row>
    <row r="514" spans="1:70">
      <c r="A514" t="s">
        <v>2340</v>
      </c>
      <c r="B514" t="s">
        <v>2341</v>
      </c>
      <c r="C514" t="s">
        <v>71</v>
      </c>
      <c r="D514" t="s">
        <v>289</v>
      </c>
      <c r="E514" t="s">
        <v>73</v>
      </c>
      <c r="F514" t="s">
        <v>74</v>
      </c>
      <c r="G514">
        <v>241566</v>
      </c>
      <c r="H514" t="s">
        <v>74</v>
      </c>
      <c r="I514" t="s">
        <v>75</v>
      </c>
      <c r="J514" t="s">
        <v>74</v>
      </c>
      <c r="K514" t="s">
        <v>2342</v>
      </c>
      <c r="L514" t="s">
        <v>77</v>
      </c>
      <c r="M514" t="s">
        <v>78</v>
      </c>
      <c r="N514" t="s">
        <v>83</v>
      </c>
      <c r="O514" t="s">
        <v>2343</v>
      </c>
      <c r="P514" t="s">
        <v>2240</v>
      </c>
      <c r="X514">
        <v>12</v>
      </c>
      <c r="AF514" t="s">
        <v>379</v>
      </c>
      <c r="AG514" t="s">
        <v>296</v>
      </c>
      <c r="AH514" t="s">
        <v>379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1.8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185.4</v>
      </c>
      <c r="BE514">
        <v>0</v>
      </c>
      <c r="BF514">
        <v>480</v>
      </c>
      <c r="BG514">
        <v>0</v>
      </c>
      <c r="BH514">
        <v>0</v>
      </c>
      <c r="BI514">
        <v>96</v>
      </c>
      <c r="BJ514">
        <v>0</v>
      </c>
      <c r="BK514">
        <v>0</v>
      </c>
      <c r="BL514">
        <v>0</v>
      </c>
      <c r="BM514">
        <v>0</v>
      </c>
      <c r="BN514">
        <v>763.2</v>
      </c>
      <c r="BO514">
        <v>122.11</v>
      </c>
      <c r="BP514">
        <v>30.53</v>
      </c>
      <c r="BQ514">
        <f t="shared" ref="BQ514:BQ577" si="8">(BN514+BO514-BP514)</f>
        <v>854.78000000000009</v>
      </c>
      <c r="BR514" t="s">
        <v>83</v>
      </c>
    </row>
    <row r="515" spans="1:70">
      <c r="A515" t="s">
        <v>2344</v>
      </c>
      <c r="B515" t="s">
        <v>2345</v>
      </c>
      <c r="C515" t="s">
        <v>71</v>
      </c>
      <c r="D515" t="s">
        <v>289</v>
      </c>
      <c r="E515" t="s">
        <v>73</v>
      </c>
      <c r="F515" t="s">
        <v>74</v>
      </c>
      <c r="G515">
        <v>241529</v>
      </c>
      <c r="H515" t="s">
        <v>74</v>
      </c>
      <c r="I515" t="s">
        <v>75</v>
      </c>
      <c r="J515" t="s">
        <v>74</v>
      </c>
      <c r="K515" t="s">
        <v>2346</v>
      </c>
      <c r="L515" t="s">
        <v>77</v>
      </c>
      <c r="M515" t="s">
        <v>78</v>
      </c>
      <c r="N515" t="s">
        <v>191</v>
      </c>
      <c r="O515" t="s">
        <v>511</v>
      </c>
      <c r="P515" t="s">
        <v>2347</v>
      </c>
      <c r="X515">
        <v>28</v>
      </c>
      <c r="AF515" t="s">
        <v>1238</v>
      </c>
      <c r="AG515" t="s">
        <v>296</v>
      </c>
      <c r="AH515" t="s">
        <v>1238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4.2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</v>
      </c>
      <c r="BB515">
        <v>0</v>
      </c>
      <c r="BC515">
        <v>0</v>
      </c>
      <c r="BD515">
        <v>1293.32</v>
      </c>
      <c r="BE515">
        <v>0</v>
      </c>
      <c r="BF515">
        <v>1120</v>
      </c>
      <c r="BG515">
        <v>0</v>
      </c>
      <c r="BH515">
        <v>0</v>
      </c>
      <c r="BI515">
        <v>224</v>
      </c>
      <c r="BJ515">
        <v>0</v>
      </c>
      <c r="BK515">
        <v>0</v>
      </c>
      <c r="BL515">
        <v>0</v>
      </c>
      <c r="BM515">
        <v>0</v>
      </c>
      <c r="BN515">
        <v>2641.52</v>
      </c>
      <c r="BO515">
        <v>422.64</v>
      </c>
      <c r="BP515">
        <v>105.66</v>
      </c>
      <c r="BQ515">
        <f t="shared" si="8"/>
        <v>2958.5</v>
      </c>
      <c r="BR515" t="s">
        <v>195</v>
      </c>
    </row>
    <row r="516" spans="1:70">
      <c r="A516" t="s">
        <v>2348</v>
      </c>
      <c r="B516" t="s">
        <v>2349</v>
      </c>
      <c r="C516" t="s">
        <v>71</v>
      </c>
      <c r="D516" t="s">
        <v>289</v>
      </c>
      <c r="E516" t="s">
        <v>73</v>
      </c>
      <c r="F516" t="s">
        <v>74</v>
      </c>
      <c r="G516">
        <v>241458</v>
      </c>
      <c r="H516" t="s">
        <v>74</v>
      </c>
      <c r="I516" t="s">
        <v>75</v>
      </c>
      <c r="J516" t="s">
        <v>74</v>
      </c>
      <c r="K516" t="s">
        <v>2350</v>
      </c>
      <c r="L516" t="s">
        <v>77</v>
      </c>
      <c r="M516" t="s">
        <v>78</v>
      </c>
      <c r="N516" t="s">
        <v>2351</v>
      </c>
      <c r="O516" t="s">
        <v>2352</v>
      </c>
      <c r="P516" t="s">
        <v>2347</v>
      </c>
      <c r="X516">
        <v>32</v>
      </c>
      <c r="AF516" t="s">
        <v>1112</v>
      </c>
      <c r="AG516" t="s">
        <v>296</v>
      </c>
      <c r="AH516" t="s">
        <v>1112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4.8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1478.08</v>
      </c>
      <c r="BE516">
        <v>0</v>
      </c>
      <c r="BF516">
        <v>1280</v>
      </c>
      <c r="BG516">
        <v>0</v>
      </c>
      <c r="BH516">
        <v>0</v>
      </c>
      <c r="BI516">
        <v>256</v>
      </c>
      <c r="BJ516">
        <v>0</v>
      </c>
      <c r="BK516">
        <v>0</v>
      </c>
      <c r="BL516">
        <v>0</v>
      </c>
      <c r="BM516">
        <v>0</v>
      </c>
      <c r="BN516">
        <v>3018.88</v>
      </c>
      <c r="BO516">
        <v>483.02</v>
      </c>
      <c r="BP516">
        <v>120.75</v>
      </c>
      <c r="BQ516">
        <f t="shared" si="8"/>
        <v>3381.15</v>
      </c>
      <c r="BR516" t="s">
        <v>195</v>
      </c>
    </row>
    <row r="517" spans="1:70">
      <c r="A517" t="s">
        <v>2353</v>
      </c>
      <c r="B517" t="s">
        <v>2354</v>
      </c>
      <c r="C517" t="s">
        <v>71</v>
      </c>
      <c r="D517" t="s">
        <v>289</v>
      </c>
      <c r="E517" t="s">
        <v>73</v>
      </c>
      <c r="F517" t="s">
        <v>74</v>
      </c>
      <c r="G517">
        <v>241450</v>
      </c>
      <c r="H517" t="s">
        <v>74</v>
      </c>
      <c r="I517" t="s">
        <v>75</v>
      </c>
      <c r="J517" t="s">
        <v>74</v>
      </c>
      <c r="K517" t="s">
        <v>2355</v>
      </c>
      <c r="L517" t="s">
        <v>77</v>
      </c>
      <c r="M517" t="s">
        <v>78</v>
      </c>
      <c r="N517" t="s">
        <v>324</v>
      </c>
      <c r="O517" t="s">
        <v>2356</v>
      </c>
      <c r="P517" t="s">
        <v>2347</v>
      </c>
      <c r="T517">
        <v>1</v>
      </c>
      <c r="AF517" t="s">
        <v>823</v>
      </c>
      <c r="AG517" t="s">
        <v>296</v>
      </c>
      <c r="AH517" t="s">
        <v>823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36.46</v>
      </c>
      <c r="AT517">
        <v>0</v>
      </c>
      <c r="AU517">
        <v>0</v>
      </c>
      <c r="AV517">
        <v>2390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>
        <v>1529.21</v>
      </c>
      <c r="BE517">
        <v>0</v>
      </c>
      <c r="BF517">
        <v>458.08</v>
      </c>
      <c r="BG517">
        <v>0</v>
      </c>
      <c r="BH517">
        <v>0</v>
      </c>
      <c r="BI517">
        <v>421.62</v>
      </c>
      <c r="BJ517">
        <v>0</v>
      </c>
      <c r="BK517">
        <v>0</v>
      </c>
      <c r="BL517">
        <v>0</v>
      </c>
      <c r="BM517">
        <v>0</v>
      </c>
      <c r="BN517">
        <v>4835.37</v>
      </c>
      <c r="BO517">
        <v>773.65</v>
      </c>
      <c r="BP517">
        <v>97.81</v>
      </c>
      <c r="BQ517">
        <f t="shared" si="8"/>
        <v>5511.2099999999991</v>
      </c>
      <c r="BR517" t="s">
        <v>324</v>
      </c>
    </row>
    <row r="518" spans="1:70">
      <c r="A518" t="s">
        <v>2357</v>
      </c>
      <c r="B518" t="s">
        <v>2358</v>
      </c>
      <c r="C518" t="s">
        <v>71</v>
      </c>
      <c r="D518" t="s">
        <v>289</v>
      </c>
      <c r="E518" t="s">
        <v>73</v>
      </c>
      <c r="F518" t="s">
        <v>74</v>
      </c>
      <c r="G518">
        <v>241574</v>
      </c>
      <c r="H518" t="s">
        <v>74</v>
      </c>
      <c r="I518" t="s">
        <v>75</v>
      </c>
      <c r="J518" t="s">
        <v>74</v>
      </c>
      <c r="K518" t="s">
        <v>2359</v>
      </c>
      <c r="L518" t="s">
        <v>77</v>
      </c>
      <c r="M518" t="s">
        <v>78</v>
      </c>
      <c r="N518" t="s">
        <v>191</v>
      </c>
      <c r="O518" t="s">
        <v>192</v>
      </c>
      <c r="P518" t="s">
        <v>2347</v>
      </c>
      <c r="T518">
        <v>1</v>
      </c>
      <c r="AF518" t="s">
        <v>823</v>
      </c>
      <c r="AG518" t="s">
        <v>296</v>
      </c>
      <c r="AH518" t="s">
        <v>823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36.46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3209.98</v>
      </c>
      <c r="BE518">
        <v>0</v>
      </c>
      <c r="BF518">
        <v>458.08</v>
      </c>
      <c r="BG518">
        <v>0</v>
      </c>
      <c r="BH518">
        <v>0</v>
      </c>
      <c r="BI518">
        <v>421.62</v>
      </c>
      <c r="BJ518">
        <v>0</v>
      </c>
      <c r="BK518">
        <v>0</v>
      </c>
      <c r="BL518">
        <v>0</v>
      </c>
      <c r="BM518">
        <v>0</v>
      </c>
      <c r="BN518">
        <v>4126.1400000000003</v>
      </c>
      <c r="BO518">
        <v>660.18</v>
      </c>
      <c r="BP518">
        <v>165.04</v>
      </c>
      <c r="BQ518">
        <f t="shared" si="8"/>
        <v>4621.2800000000007</v>
      </c>
      <c r="BR518" t="s">
        <v>195</v>
      </c>
    </row>
    <row r="519" spans="1:70">
      <c r="A519" t="s">
        <v>2360</v>
      </c>
      <c r="B519" t="s">
        <v>2361</v>
      </c>
      <c r="C519" t="s">
        <v>71</v>
      </c>
      <c r="D519" t="s">
        <v>289</v>
      </c>
      <c r="E519" t="s">
        <v>73</v>
      </c>
      <c r="F519" t="s">
        <v>74</v>
      </c>
      <c r="G519">
        <v>241521</v>
      </c>
      <c r="H519" t="s">
        <v>74</v>
      </c>
      <c r="I519" t="s">
        <v>75</v>
      </c>
      <c r="J519" t="s">
        <v>74</v>
      </c>
      <c r="K519" t="s">
        <v>2362</v>
      </c>
      <c r="L519" t="s">
        <v>77</v>
      </c>
      <c r="M519" t="s">
        <v>78</v>
      </c>
      <c r="N519" t="s">
        <v>137</v>
      </c>
      <c r="O519" t="s">
        <v>511</v>
      </c>
      <c r="P519" t="s">
        <v>2347</v>
      </c>
      <c r="T519">
        <v>4</v>
      </c>
      <c r="AF519" t="s">
        <v>1234</v>
      </c>
      <c r="AG519" t="s">
        <v>296</v>
      </c>
      <c r="AH519" t="s">
        <v>1234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145.84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12839.92</v>
      </c>
      <c r="BE519">
        <v>0</v>
      </c>
      <c r="BF519">
        <v>1832.32</v>
      </c>
      <c r="BG519">
        <v>0</v>
      </c>
      <c r="BH519">
        <v>0</v>
      </c>
      <c r="BI519">
        <v>1686.48</v>
      </c>
      <c r="BJ519">
        <v>0</v>
      </c>
      <c r="BK519">
        <v>0</v>
      </c>
      <c r="BL519">
        <v>0</v>
      </c>
      <c r="BM519">
        <v>0</v>
      </c>
      <c r="BN519">
        <v>16504.560000000001</v>
      </c>
      <c r="BO519">
        <v>2640.73</v>
      </c>
      <c r="BP519">
        <v>660.18</v>
      </c>
      <c r="BQ519">
        <f t="shared" si="8"/>
        <v>18485.11</v>
      </c>
      <c r="BR519" t="s">
        <v>141</v>
      </c>
    </row>
    <row r="520" spans="1:70">
      <c r="A520" t="s">
        <v>2363</v>
      </c>
      <c r="B520" t="s">
        <v>2364</v>
      </c>
      <c r="C520" t="s">
        <v>71</v>
      </c>
      <c r="D520" t="s">
        <v>289</v>
      </c>
      <c r="E520" t="s">
        <v>73</v>
      </c>
      <c r="F520" t="s">
        <v>74</v>
      </c>
      <c r="G520" t="s">
        <v>2365</v>
      </c>
      <c r="H520" t="s">
        <v>74</v>
      </c>
      <c r="I520" t="s">
        <v>75</v>
      </c>
      <c r="J520" t="s">
        <v>74</v>
      </c>
      <c r="K520" t="s">
        <v>2366</v>
      </c>
      <c r="L520" t="s">
        <v>77</v>
      </c>
      <c r="M520" t="s">
        <v>78</v>
      </c>
      <c r="N520" t="s">
        <v>119</v>
      </c>
      <c r="O520" t="s">
        <v>2367</v>
      </c>
      <c r="P520" t="s">
        <v>2347</v>
      </c>
      <c r="V520">
        <v>1</v>
      </c>
      <c r="AF520" t="s">
        <v>295</v>
      </c>
      <c r="AG520" t="s">
        <v>296</v>
      </c>
      <c r="AH520" t="s">
        <v>295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0.15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375.85</v>
      </c>
      <c r="BE520">
        <v>0</v>
      </c>
      <c r="BF520">
        <v>40</v>
      </c>
      <c r="BG520">
        <v>0</v>
      </c>
      <c r="BH520">
        <v>0</v>
      </c>
      <c r="BI520">
        <v>8</v>
      </c>
      <c r="BJ520">
        <v>0</v>
      </c>
      <c r="BK520">
        <v>0</v>
      </c>
      <c r="BL520">
        <v>0</v>
      </c>
      <c r="BM520">
        <v>0</v>
      </c>
      <c r="BN520">
        <v>424</v>
      </c>
      <c r="BO520">
        <v>67.84</v>
      </c>
      <c r="BP520">
        <v>16.96</v>
      </c>
      <c r="BQ520">
        <f t="shared" si="8"/>
        <v>474.88000000000005</v>
      </c>
      <c r="BR520" t="s">
        <v>119</v>
      </c>
    </row>
    <row r="521" spans="1:70">
      <c r="A521" t="s">
        <v>2368</v>
      </c>
      <c r="B521" t="s">
        <v>2369</v>
      </c>
      <c r="C521" t="s">
        <v>71</v>
      </c>
      <c r="D521" t="s">
        <v>289</v>
      </c>
      <c r="E521" t="s">
        <v>73</v>
      </c>
      <c r="F521" t="s">
        <v>74</v>
      </c>
      <c r="G521" t="s">
        <v>2370</v>
      </c>
      <c r="H521" t="s">
        <v>74</v>
      </c>
      <c r="I521" t="s">
        <v>75</v>
      </c>
      <c r="J521" t="s">
        <v>74</v>
      </c>
      <c r="K521" t="s">
        <v>2371</v>
      </c>
      <c r="L521" t="s">
        <v>77</v>
      </c>
      <c r="M521" t="s">
        <v>78</v>
      </c>
      <c r="N521" t="s">
        <v>647</v>
      </c>
      <c r="O521" t="s">
        <v>2372</v>
      </c>
      <c r="P521" t="s">
        <v>2347</v>
      </c>
      <c r="V521">
        <v>1</v>
      </c>
      <c r="AF521" t="s">
        <v>295</v>
      </c>
      <c r="AG521" t="s">
        <v>296</v>
      </c>
      <c r="AH521" t="s">
        <v>295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0.15</v>
      </c>
      <c r="AT521">
        <v>0</v>
      </c>
      <c r="AU521">
        <v>0</v>
      </c>
      <c r="AV521">
        <v>0</v>
      </c>
      <c r="AW521">
        <v>0</v>
      </c>
      <c r="AX521">
        <v>0</v>
      </c>
      <c r="AY521">
        <v>0</v>
      </c>
      <c r="AZ521">
        <v>0</v>
      </c>
      <c r="BA521">
        <v>0</v>
      </c>
      <c r="BB521">
        <v>0</v>
      </c>
      <c r="BC521">
        <v>0</v>
      </c>
      <c r="BD521">
        <v>375.85</v>
      </c>
      <c r="BE521">
        <v>0</v>
      </c>
      <c r="BF521">
        <v>40</v>
      </c>
      <c r="BG521">
        <v>0</v>
      </c>
      <c r="BH521">
        <v>0</v>
      </c>
      <c r="BI521">
        <v>8</v>
      </c>
      <c r="BJ521">
        <v>0</v>
      </c>
      <c r="BK521">
        <v>0</v>
      </c>
      <c r="BL521">
        <v>0</v>
      </c>
      <c r="BM521">
        <v>0</v>
      </c>
      <c r="BN521">
        <v>424</v>
      </c>
      <c r="BO521">
        <v>67.84</v>
      </c>
      <c r="BP521">
        <v>16.96</v>
      </c>
      <c r="BQ521">
        <f t="shared" si="8"/>
        <v>474.88000000000005</v>
      </c>
      <c r="BR521" t="s">
        <v>649</v>
      </c>
    </row>
    <row r="522" spans="1:70">
      <c r="A522" t="s">
        <v>2373</v>
      </c>
      <c r="B522" t="s">
        <v>2374</v>
      </c>
      <c r="C522" t="s">
        <v>71</v>
      </c>
      <c r="D522" t="s">
        <v>289</v>
      </c>
      <c r="E522" t="s">
        <v>73</v>
      </c>
      <c r="F522" t="s">
        <v>74</v>
      </c>
      <c r="G522">
        <v>241644</v>
      </c>
      <c r="H522" t="s">
        <v>74</v>
      </c>
      <c r="I522" t="s">
        <v>75</v>
      </c>
      <c r="J522" t="s">
        <v>74</v>
      </c>
      <c r="K522" t="s">
        <v>2375</v>
      </c>
      <c r="L522" t="s">
        <v>77</v>
      </c>
      <c r="M522" t="s">
        <v>78</v>
      </c>
      <c r="N522" t="s">
        <v>438</v>
      </c>
      <c r="O522" t="s">
        <v>2376</v>
      </c>
      <c r="P522" t="s">
        <v>2347</v>
      </c>
      <c r="X522">
        <v>16</v>
      </c>
      <c r="AF522" t="s">
        <v>482</v>
      </c>
      <c r="AG522" t="s">
        <v>296</v>
      </c>
      <c r="AH522" t="s">
        <v>482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2.4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247.2</v>
      </c>
      <c r="BE522">
        <v>0</v>
      </c>
      <c r="BF522">
        <v>640</v>
      </c>
      <c r="BG522">
        <v>0</v>
      </c>
      <c r="BH522">
        <v>0</v>
      </c>
      <c r="BI522">
        <v>128</v>
      </c>
      <c r="BJ522">
        <v>0</v>
      </c>
      <c r="BK522">
        <v>0</v>
      </c>
      <c r="BL522">
        <v>0</v>
      </c>
      <c r="BM522">
        <v>0</v>
      </c>
      <c r="BN522">
        <v>1017.6</v>
      </c>
      <c r="BO522">
        <v>162.81</v>
      </c>
      <c r="BP522">
        <v>40.71</v>
      </c>
      <c r="BQ522">
        <f t="shared" si="8"/>
        <v>1139.7</v>
      </c>
      <c r="BR522" t="s">
        <v>440</v>
      </c>
    </row>
    <row r="523" spans="1:70">
      <c r="A523" t="s">
        <v>2377</v>
      </c>
      <c r="B523" t="s">
        <v>2378</v>
      </c>
      <c r="C523" t="s">
        <v>71</v>
      </c>
      <c r="D523" t="s">
        <v>289</v>
      </c>
      <c r="E523" t="s">
        <v>73</v>
      </c>
      <c r="F523" t="s">
        <v>74</v>
      </c>
      <c r="G523">
        <v>241626</v>
      </c>
      <c r="H523" t="s">
        <v>74</v>
      </c>
      <c r="I523" t="s">
        <v>75</v>
      </c>
      <c r="J523" t="s">
        <v>74</v>
      </c>
      <c r="K523" t="s">
        <v>2379</v>
      </c>
      <c r="L523" t="s">
        <v>77</v>
      </c>
      <c r="M523" t="s">
        <v>78</v>
      </c>
      <c r="N523" t="s">
        <v>924</v>
      </c>
      <c r="O523" t="s">
        <v>2380</v>
      </c>
      <c r="P523" t="s">
        <v>2381</v>
      </c>
      <c r="X523">
        <v>11</v>
      </c>
      <c r="AF523" t="s">
        <v>470</v>
      </c>
      <c r="AG523" t="s">
        <v>296</v>
      </c>
      <c r="AH523" t="s">
        <v>470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1.65</v>
      </c>
      <c r="AT523">
        <v>0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0</v>
      </c>
      <c r="BD523">
        <v>169.95</v>
      </c>
      <c r="BE523">
        <v>0</v>
      </c>
      <c r="BF523">
        <v>440</v>
      </c>
      <c r="BG523">
        <v>0</v>
      </c>
      <c r="BH523">
        <v>0</v>
      </c>
      <c r="BI523">
        <v>88</v>
      </c>
      <c r="BJ523">
        <v>0</v>
      </c>
      <c r="BK523">
        <v>0</v>
      </c>
      <c r="BL523">
        <v>0</v>
      </c>
      <c r="BM523">
        <v>0</v>
      </c>
      <c r="BN523">
        <v>699.6</v>
      </c>
      <c r="BO523">
        <v>111.93</v>
      </c>
      <c r="BP523">
        <v>27.99</v>
      </c>
      <c r="BQ523">
        <f t="shared" si="8"/>
        <v>783.54</v>
      </c>
      <c r="BR523" t="s">
        <v>757</v>
      </c>
    </row>
    <row r="524" spans="1:70">
      <c r="A524" t="s">
        <v>2382</v>
      </c>
      <c r="B524" t="s">
        <v>2383</v>
      </c>
      <c r="C524" t="s">
        <v>71</v>
      </c>
      <c r="D524" t="s">
        <v>289</v>
      </c>
      <c r="E524" t="s">
        <v>73</v>
      </c>
      <c r="F524" t="s">
        <v>74</v>
      </c>
      <c r="G524">
        <v>241638</v>
      </c>
      <c r="H524" t="s">
        <v>74</v>
      </c>
      <c r="I524" t="s">
        <v>75</v>
      </c>
      <c r="J524" t="s">
        <v>74</v>
      </c>
      <c r="K524" t="s">
        <v>2384</v>
      </c>
      <c r="L524" t="s">
        <v>77</v>
      </c>
      <c r="M524" t="s">
        <v>78</v>
      </c>
      <c r="N524" t="s">
        <v>2033</v>
      </c>
      <c r="O524" t="s">
        <v>2385</v>
      </c>
      <c r="P524" t="s">
        <v>2381</v>
      </c>
      <c r="X524">
        <v>17</v>
      </c>
      <c r="AF524" t="s">
        <v>464</v>
      </c>
      <c r="AG524" t="s">
        <v>296</v>
      </c>
      <c r="AH524" t="s">
        <v>464</v>
      </c>
      <c r="AJ524">
        <v>0</v>
      </c>
      <c r="AK524">
        <v>0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2.5499999999999998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785.23</v>
      </c>
      <c r="BE524">
        <v>0</v>
      </c>
      <c r="BF524">
        <v>680</v>
      </c>
      <c r="BG524">
        <v>0</v>
      </c>
      <c r="BH524">
        <v>0</v>
      </c>
      <c r="BI524">
        <v>136</v>
      </c>
      <c r="BJ524">
        <v>0</v>
      </c>
      <c r="BK524">
        <v>0</v>
      </c>
      <c r="BL524">
        <v>0</v>
      </c>
      <c r="BM524">
        <v>0</v>
      </c>
      <c r="BN524">
        <v>1603.78</v>
      </c>
      <c r="BO524">
        <v>256.61</v>
      </c>
      <c r="BP524">
        <v>64.150000000000006</v>
      </c>
      <c r="BQ524">
        <f t="shared" si="8"/>
        <v>1796.2399999999998</v>
      </c>
      <c r="BR524" t="s">
        <v>332</v>
      </c>
    </row>
    <row r="525" spans="1:70">
      <c r="A525" t="s">
        <v>2386</v>
      </c>
      <c r="B525" t="s">
        <v>2387</v>
      </c>
      <c r="C525" t="s">
        <v>71</v>
      </c>
      <c r="D525" t="s">
        <v>289</v>
      </c>
      <c r="E525" t="s">
        <v>73</v>
      </c>
      <c r="F525" t="s">
        <v>74</v>
      </c>
      <c r="G525">
        <v>241629</v>
      </c>
      <c r="H525" t="s">
        <v>74</v>
      </c>
      <c r="I525" t="s">
        <v>75</v>
      </c>
      <c r="J525" t="s">
        <v>74</v>
      </c>
      <c r="K525" t="s">
        <v>2388</v>
      </c>
      <c r="L525" t="s">
        <v>77</v>
      </c>
      <c r="M525" t="s">
        <v>78</v>
      </c>
      <c r="N525" t="s">
        <v>474</v>
      </c>
      <c r="O525" t="s">
        <v>2389</v>
      </c>
      <c r="P525" t="s">
        <v>2381</v>
      </c>
      <c r="X525">
        <v>6</v>
      </c>
      <c r="AF525" t="s">
        <v>400</v>
      </c>
      <c r="AG525" t="s">
        <v>296</v>
      </c>
      <c r="AH525" t="s">
        <v>400</v>
      </c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0.9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277.14</v>
      </c>
      <c r="BE525">
        <v>0</v>
      </c>
      <c r="BF525">
        <v>240</v>
      </c>
      <c r="BG525">
        <v>0</v>
      </c>
      <c r="BH525">
        <v>0</v>
      </c>
      <c r="BI525">
        <v>48</v>
      </c>
      <c r="BJ525">
        <v>0</v>
      </c>
      <c r="BK525">
        <v>0</v>
      </c>
      <c r="BL525">
        <v>0</v>
      </c>
      <c r="BM525">
        <v>0</v>
      </c>
      <c r="BN525">
        <v>566.04</v>
      </c>
      <c r="BO525">
        <v>90.56</v>
      </c>
      <c r="BP525">
        <v>22.65</v>
      </c>
      <c r="BQ525">
        <f t="shared" si="8"/>
        <v>633.94999999999993</v>
      </c>
      <c r="BR525" t="s">
        <v>476</v>
      </c>
    </row>
    <row r="526" spans="1:70">
      <c r="A526" t="s">
        <v>2390</v>
      </c>
      <c r="B526" t="s">
        <v>2391</v>
      </c>
      <c r="C526" t="s">
        <v>71</v>
      </c>
      <c r="D526" t="s">
        <v>289</v>
      </c>
      <c r="E526" t="s">
        <v>73</v>
      </c>
      <c r="F526" t="s">
        <v>74</v>
      </c>
      <c r="G526">
        <v>241628</v>
      </c>
      <c r="H526" t="s">
        <v>74</v>
      </c>
      <c r="I526" t="s">
        <v>75</v>
      </c>
      <c r="J526" t="s">
        <v>74</v>
      </c>
      <c r="K526" t="s">
        <v>2392</v>
      </c>
      <c r="L526" t="s">
        <v>77</v>
      </c>
      <c r="M526" t="s">
        <v>78</v>
      </c>
      <c r="N526" t="s">
        <v>620</v>
      </c>
      <c r="O526" t="s">
        <v>621</v>
      </c>
      <c r="P526" t="s">
        <v>2381</v>
      </c>
      <c r="X526">
        <v>26</v>
      </c>
      <c r="AF526" t="s">
        <v>920</v>
      </c>
      <c r="AG526" t="s">
        <v>296</v>
      </c>
      <c r="AH526" t="s">
        <v>920</v>
      </c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3.9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401.7</v>
      </c>
      <c r="BE526">
        <v>0</v>
      </c>
      <c r="BF526">
        <v>1040</v>
      </c>
      <c r="BG526">
        <v>0</v>
      </c>
      <c r="BH526">
        <v>0</v>
      </c>
      <c r="BI526">
        <v>208</v>
      </c>
      <c r="BJ526">
        <v>0</v>
      </c>
      <c r="BK526">
        <v>0</v>
      </c>
      <c r="BL526">
        <v>0</v>
      </c>
      <c r="BM526">
        <v>0</v>
      </c>
      <c r="BN526">
        <v>1653.6</v>
      </c>
      <c r="BO526">
        <v>264.57</v>
      </c>
      <c r="BP526">
        <v>66.150000000000006</v>
      </c>
      <c r="BQ526">
        <f t="shared" si="8"/>
        <v>1852.0199999999998</v>
      </c>
      <c r="BR526" t="s">
        <v>83</v>
      </c>
    </row>
    <row r="527" spans="1:70">
      <c r="A527" t="s">
        <v>2393</v>
      </c>
      <c r="B527" t="s">
        <v>2394</v>
      </c>
      <c r="C527" t="s">
        <v>71</v>
      </c>
      <c r="D527" t="s">
        <v>289</v>
      </c>
      <c r="E527" t="s">
        <v>73</v>
      </c>
      <c r="F527" t="s">
        <v>74</v>
      </c>
      <c r="G527">
        <v>241623</v>
      </c>
      <c r="H527" t="s">
        <v>74</v>
      </c>
      <c r="I527" t="s">
        <v>75</v>
      </c>
      <c r="J527" t="s">
        <v>74</v>
      </c>
      <c r="K527" t="s">
        <v>2395</v>
      </c>
      <c r="L527" t="s">
        <v>77</v>
      </c>
      <c r="M527" t="s">
        <v>78</v>
      </c>
      <c r="N527" t="s">
        <v>349</v>
      </c>
      <c r="O527" t="s">
        <v>937</v>
      </c>
      <c r="P527" t="s">
        <v>2381</v>
      </c>
      <c r="X527">
        <v>15</v>
      </c>
      <c r="AF527" t="s">
        <v>235</v>
      </c>
      <c r="AG527" t="s">
        <v>296</v>
      </c>
      <c r="AH527" t="s">
        <v>235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2.25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692.85</v>
      </c>
      <c r="BE527">
        <v>0</v>
      </c>
      <c r="BF527">
        <v>600</v>
      </c>
      <c r="BG527">
        <v>0</v>
      </c>
      <c r="BH527">
        <v>0</v>
      </c>
      <c r="BI527">
        <v>120</v>
      </c>
      <c r="BJ527">
        <v>0</v>
      </c>
      <c r="BK527">
        <v>0</v>
      </c>
      <c r="BL527">
        <v>0</v>
      </c>
      <c r="BM527">
        <v>0</v>
      </c>
      <c r="BN527">
        <v>1415.1</v>
      </c>
      <c r="BO527">
        <v>226.42</v>
      </c>
      <c r="BP527">
        <v>56.6</v>
      </c>
      <c r="BQ527">
        <f t="shared" si="8"/>
        <v>1584.92</v>
      </c>
      <c r="BR527" t="s">
        <v>349</v>
      </c>
    </row>
    <row r="528" spans="1:70">
      <c r="A528" t="s">
        <v>2396</v>
      </c>
      <c r="B528" t="s">
        <v>2397</v>
      </c>
      <c r="C528" t="s">
        <v>71</v>
      </c>
      <c r="D528" t="s">
        <v>289</v>
      </c>
      <c r="E528" t="s">
        <v>73</v>
      </c>
      <c r="F528" t="s">
        <v>74</v>
      </c>
      <c r="G528" t="s">
        <v>2398</v>
      </c>
      <c r="H528" t="s">
        <v>74</v>
      </c>
      <c r="I528" t="s">
        <v>75</v>
      </c>
      <c r="J528" t="s">
        <v>74</v>
      </c>
      <c r="K528" t="s">
        <v>2399</v>
      </c>
      <c r="L528" t="s">
        <v>77</v>
      </c>
      <c r="M528" t="s">
        <v>78</v>
      </c>
      <c r="N528" t="s">
        <v>1510</v>
      </c>
      <c r="O528" t="s">
        <v>1511</v>
      </c>
      <c r="P528" t="s">
        <v>2381</v>
      </c>
      <c r="T528">
        <v>1</v>
      </c>
      <c r="AF528" t="s">
        <v>823</v>
      </c>
      <c r="AG528" t="s">
        <v>296</v>
      </c>
      <c r="AH528" t="s">
        <v>823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36.46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2293.8200000000002</v>
      </c>
      <c r="BE528">
        <v>6018</v>
      </c>
      <c r="BF528">
        <v>458.08</v>
      </c>
      <c r="BG528">
        <v>0</v>
      </c>
      <c r="BH528">
        <v>0</v>
      </c>
      <c r="BI528">
        <v>421.62</v>
      </c>
      <c r="BJ528">
        <v>0</v>
      </c>
      <c r="BK528">
        <v>0</v>
      </c>
      <c r="BL528">
        <v>0</v>
      </c>
      <c r="BM528">
        <v>0</v>
      </c>
      <c r="BN528">
        <v>9227.98</v>
      </c>
      <c r="BO528">
        <v>1476.47</v>
      </c>
      <c r="BP528">
        <v>128.38999999999999</v>
      </c>
      <c r="BQ528">
        <f t="shared" si="8"/>
        <v>10576.06</v>
      </c>
      <c r="BR528" t="s">
        <v>1512</v>
      </c>
    </row>
    <row r="529" spans="1:70">
      <c r="A529" t="s">
        <v>2400</v>
      </c>
      <c r="B529" t="s">
        <v>2401</v>
      </c>
      <c r="C529" t="s">
        <v>71</v>
      </c>
      <c r="D529" t="s">
        <v>289</v>
      </c>
      <c r="E529" t="s">
        <v>73</v>
      </c>
      <c r="F529" t="s">
        <v>74</v>
      </c>
      <c r="G529">
        <v>241332</v>
      </c>
      <c r="H529" t="s">
        <v>74</v>
      </c>
      <c r="I529" t="s">
        <v>75</v>
      </c>
      <c r="J529" t="s">
        <v>74</v>
      </c>
      <c r="K529" t="s">
        <v>2402</v>
      </c>
      <c r="L529" t="s">
        <v>77</v>
      </c>
      <c r="M529" t="s">
        <v>78</v>
      </c>
      <c r="N529" t="s">
        <v>438</v>
      </c>
      <c r="O529" t="s">
        <v>2403</v>
      </c>
      <c r="P529" t="s">
        <v>2381</v>
      </c>
      <c r="V529">
        <v>1</v>
      </c>
      <c r="AF529" t="s">
        <v>295</v>
      </c>
      <c r="AG529" t="s">
        <v>296</v>
      </c>
      <c r="AH529" t="s">
        <v>295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0.15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375.85</v>
      </c>
      <c r="BE529">
        <v>0</v>
      </c>
      <c r="BF529">
        <v>40</v>
      </c>
      <c r="BG529">
        <v>0</v>
      </c>
      <c r="BH529">
        <v>0</v>
      </c>
      <c r="BI529">
        <v>8</v>
      </c>
      <c r="BJ529">
        <v>0</v>
      </c>
      <c r="BK529">
        <v>0</v>
      </c>
      <c r="BL529">
        <v>0</v>
      </c>
      <c r="BM529">
        <v>0</v>
      </c>
      <c r="BN529">
        <v>424</v>
      </c>
      <c r="BO529">
        <v>67.84</v>
      </c>
      <c r="BP529">
        <v>16.96</v>
      </c>
      <c r="BQ529">
        <f t="shared" si="8"/>
        <v>474.88000000000005</v>
      </c>
      <c r="BR529" t="s">
        <v>440</v>
      </c>
    </row>
    <row r="530" spans="1:70">
      <c r="A530" t="s">
        <v>2404</v>
      </c>
      <c r="B530" t="s">
        <v>2405</v>
      </c>
      <c r="C530" t="s">
        <v>71</v>
      </c>
      <c r="D530" t="s">
        <v>289</v>
      </c>
      <c r="E530" t="s">
        <v>73</v>
      </c>
      <c r="F530" t="s">
        <v>74</v>
      </c>
      <c r="G530">
        <v>241648</v>
      </c>
      <c r="H530" t="s">
        <v>74</v>
      </c>
      <c r="I530" t="s">
        <v>75</v>
      </c>
      <c r="J530" t="s">
        <v>74</v>
      </c>
      <c r="K530" t="s">
        <v>2406</v>
      </c>
      <c r="L530" t="s">
        <v>77</v>
      </c>
      <c r="M530" t="s">
        <v>78</v>
      </c>
      <c r="N530" t="s">
        <v>119</v>
      </c>
      <c r="O530" t="s">
        <v>2407</v>
      </c>
      <c r="P530" t="s">
        <v>2381</v>
      </c>
      <c r="V530">
        <v>1</v>
      </c>
      <c r="AF530" t="s">
        <v>295</v>
      </c>
      <c r="AG530" t="s">
        <v>296</v>
      </c>
      <c r="AH530" t="s">
        <v>295</v>
      </c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0.15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375.85</v>
      </c>
      <c r="BE530">
        <v>0</v>
      </c>
      <c r="BF530">
        <v>40</v>
      </c>
      <c r="BG530">
        <v>0</v>
      </c>
      <c r="BH530">
        <v>0</v>
      </c>
      <c r="BI530">
        <v>8</v>
      </c>
      <c r="BJ530">
        <v>0</v>
      </c>
      <c r="BK530">
        <v>0</v>
      </c>
      <c r="BL530">
        <v>0</v>
      </c>
      <c r="BM530">
        <v>0</v>
      </c>
      <c r="BN530">
        <v>424</v>
      </c>
      <c r="BO530">
        <v>67.84</v>
      </c>
      <c r="BP530">
        <v>16.96</v>
      </c>
      <c r="BQ530">
        <f t="shared" si="8"/>
        <v>474.88000000000005</v>
      </c>
      <c r="BR530" t="s">
        <v>119</v>
      </c>
    </row>
    <row r="531" spans="1:70">
      <c r="A531" t="s">
        <v>2408</v>
      </c>
      <c r="B531" t="s">
        <v>2409</v>
      </c>
      <c r="C531" t="s">
        <v>71</v>
      </c>
      <c r="D531" t="s">
        <v>289</v>
      </c>
      <c r="E531" t="s">
        <v>73</v>
      </c>
      <c r="F531" t="s">
        <v>74</v>
      </c>
      <c r="G531" t="s">
        <v>2410</v>
      </c>
      <c r="H531" t="s">
        <v>74</v>
      </c>
      <c r="I531" t="s">
        <v>75</v>
      </c>
      <c r="J531" t="s">
        <v>74</v>
      </c>
      <c r="K531" t="s">
        <v>2411</v>
      </c>
      <c r="L531" t="s">
        <v>77</v>
      </c>
      <c r="M531" t="s">
        <v>78</v>
      </c>
      <c r="N531" t="s">
        <v>558</v>
      </c>
      <c r="O531" t="s">
        <v>2412</v>
      </c>
      <c r="P531" t="s">
        <v>2381</v>
      </c>
      <c r="X531">
        <v>24</v>
      </c>
      <c r="AF531" t="s">
        <v>1177</v>
      </c>
      <c r="AG531" t="s">
        <v>296</v>
      </c>
      <c r="AH531" t="s">
        <v>1177</v>
      </c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3.6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0</v>
      </c>
      <c r="BC531">
        <v>0</v>
      </c>
      <c r="BD531">
        <v>1108.56</v>
      </c>
      <c r="BE531">
        <v>0</v>
      </c>
      <c r="BF531">
        <v>960</v>
      </c>
      <c r="BG531">
        <v>0</v>
      </c>
      <c r="BH531">
        <v>0</v>
      </c>
      <c r="BI531">
        <v>192</v>
      </c>
      <c r="BJ531">
        <v>0</v>
      </c>
      <c r="BK531">
        <v>0</v>
      </c>
      <c r="BL531">
        <v>0</v>
      </c>
      <c r="BM531">
        <v>0</v>
      </c>
      <c r="BN531">
        <v>2264.16</v>
      </c>
      <c r="BO531">
        <v>362.27</v>
      </c>
      <c r="BP531">
        <v>90.56</v>
      </c>
      <c r="BQ531">
        <f t="shared" si="8"/>
        <v>2535.87</v>
      </c>
      <c r="BR531" t="s">
        <v>560</v>
      </c>
    </row>
    <row r="532" spans="1:70">
      <c r="A532" t="s">
        <v>2413</v>
      </c>
      <c r="B532" t="s">
        <v>2414</v>
      </c>
      <c r="C532" t="s">
        <v>71</v>
      </c>
      <c r="D532" t="s">
        <v>289</v>
      </c>
      <c r="E532" t="s">
        <v>73</v>
      </c>
      <c r="F532" t="s">
        <v>74</v>
      </c>
      <c r="G532">
        <v>241646</v>
      </c>
      <c r="H532" t="s">
        <v>74</v>
      </c>
      <c r="I532" t="s">
        <v>75</v>
      </c>
      <c r="J532" t="s">
        <v>74</v>
      </c>
      <c r="K532" t="s">
        <v>2415</v>
      </c>
      <c r="L532" t="s">
        <v>77</v>
      </c>
      <c r="M532" t="s">
        <v>78</v>
      </c>
      <c r="N532" t="s">
        <v>286</v>
      </c>
      <c r="O532" t="s">
        <v>2416</v>
      </c>
      <c r="P532" t="s">
        <v>2417</v>
      </c>
      <c r="X532">
        <v>21</v>
      </c>
      <c r="AF532" t="s">
        <v>684</v>
      </c>
      <c r="AG532" t="s">
        <v>296</v>
      </c>
      <c r="AH532" t="s">
        <v>684</v>
      </c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3.15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969.99</v>
      </c>
      <c r="BE532">
        <v>0</v>
      </c>
      <c r="BF532">
        <v>840</v>
      </c>
      <c r="BG532">
        <v>0</v>
      </c>
      <c r="BH532">
        <v>0</v>
      </c>
      <c r="BI532">
        <v>168</v>
      </c>
      <c r="BJ532">
        <v>0</v>
      </c>
      <c r="BK532">
        <v>0</v>
      </c>
      <c r="BL532">
        <v>0</v>
      </c>
      <c r="BM532">
        <v>0</v>
      </c>
      <c r="BN532">
        <v>1981.14</v>
      </c>
      <c r="BO532">
        <v>316.98</v>
      </c>
      <c r="BP532">
        <v>79.25</v>
      </c>
      <c r="BQ532">
        <f t="shared" si="8"/>
        <v>2218.87</v>
      </c>
      <c r="BR532" t="s">
        <v>286</v>
      </c>
    </row>
    <row r="533" spans="1:70">
      <c r="A533" t="s">
        <v>2418</v>
      </c>
      <c r="B533" t="s">
        <v>2419</v>
      </c>
      <c r="C533" t="s">
        <v>71</v>
      </c>
      <c r="D533" t="s">
        <v>289</v>
      </c>
      <c r="E533" t="s">
        <v>73</v>
      </c>
      <c r="F533" t="s">
        <v>1183</v>
      </c>
      <c r="G533" t="s">
        <v>2420</v>
      </c>
      <c r="H533" t="s">
        <v>74</v>
      </c>
      <c r="I533" t="s">
        <v>75</v>
      </c>
      <c r="J533" t="s">
        <v>74</v>
      </c>
      <c r="K533" t="s">
        <v>2421</v>
      </c>
      <c r="L533" t="s">
        <v>77</v>
      </c>
      <c r="M533" t="s">
        <v>78</v>
      </c>
      <c r="N533" t="s">
        <v>438</v>
      </c>
      <c r="O533" t="s">
        <v>2422</v>
      </c>
      <c r="P533" t="s">
        <v>2417</v>
      </c>
      <c r="X533">
        <v>7</v>
      </c>
      <c r="AF533" t="s">
        <v>345</v>
      </c>
      <c r="AG533" t="s">
        <v>296</v>
      </c>
      <c r="AH533" t="s">
        <v>345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1.05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108.15</v>
      </c>
      <c r="BE533">
        <v>0</v>
      </c>
      <c r="BF533">
        <v>280</v>
      </c>
      <c r="BG533">
        <v>0</v>
      </c>
      <c r="BH533">
        <v>0</v>
      </c>
      <c r="BI533">
        <v>56</v>
      </c>
      <c r="BJ533">
        <v>0</v>
      </c>
      <c r="BK533">
        <v>0</v>
      </c>
      <c r="BL533">
        <v>0</v>
      </c>
      <c r="BM533">
        <v>0</v>
      </c>
      <c r="BN533">
        <v>445.2</v>
      </c>
      <c r="BO533">
        <v>71.23</v>
      </c>
      <c r="BP533">
        <v>17.809999999999999</v>
      </c>
      <c r="BQ533">
        <f t="shared" si="8"/>
        <v>498.61999999999995</v>
      </c>
      <c r="BR533" t="s">
        <v>440</v>
      </c>
    </row>
    <row r="534" spans="1:70">
      <c r="A534" t="s">
        <v>2423</v>
      </c>
      <c r="B534" t="s">
        <v>2424</v>
      </c>
      <c r="C534" t="s">
        <v>71</v>
      </c>
      <c r="D534" t="s">
        <v>289</v>
      </c>
      <c r="E534" t="s">
        <v>73</v>
      </c>
      <c r="F534" t="s">
        <v>74</v>
      </c>
      <c r="G534">
        <v>241600</v>
      </c>
      <c r="H534" t="s">
        <v>74</v>
      </c>
      <c r="I534" t="s">
        <v>75</v>
      </c>
      <c r="J534" t="s">
        <v>74</v>
      </c>
      <c r="K534" t="s">
        <v>2425</v>
      </c>
      <c r="L534" t="s">
        <v>77</v>
      </c>
      <c r="M534" t="s">
        <v>78</v>
      </c>
      <c r="N534" t="s">
        <v>748</v>
      </c>
      <c r="O534" t="s">
        <v>2426</v>
      </c>
      <c r="P534" t="s">
        <v>2417</v>
      </c>
      <c r="X534">
        <v>5</v>
      </c>
      <c r="AF534" t="s">
        <v>333</v>
      </c>
      <c r="AG534" t="s">
        <v>296</v>
      </c>
      <c r="AH534" t="s">
        <v>333</v>
      </c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0.75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77.25</v>
      </c>
      <c r="BE534">
        <v>0</v>
      </c>
      <c r="BF534">
        <v>200</v>
      </c>
      <c r="BG534">
        <v>0</v>
      </c>
      <c r="BH534">
        <v>0</v>
      </c>
      <c r="BI534">
        <v>40</v>
      </c>
      <c r="BJ534">
        <v>0</v>
      </c>
      <c r="BK534">
        <v>0</v>
      </c>
      <c r="BL534">
        <v>0</v>
      </c>
      <c r="BM534">
        <v>0</v>
      </c>
      <c r="BN534">
        <v>318</v>
      </c>
      <c r="BO534">
        <v>50.88</v>
      </c>
      <c r="BP534">
        <v>12.72</v>
      </c>
      <c r="BQ534">
        <f t="shared" si="8"/>
        <v>356.15999999999997</v>
      </c>
      <c r="BR534" t="s">
        <v>748</v>
      </c>
    </row>
    <row r="535" spans="1:70">
      <c r="A535" t="s">
        <v>2427</v>
      </c>
      <c r="B535" t="s">
        <v>2428</v>
      </c>
      <c r="C535" t="s">
        <v>71</v>
      </c>
      <c r="D535" t="s">
        <v>289</v>
      </c>
      <c r="E535" t="s">
        <v>73</v>
      </c>
      <c r="F535" t="s">
        <v>74</v>
      </c>
      <c r="G535">
        <v>241605</v>
      </c>
      <c r="H535" t="s">
        <v>74</v>
      </c>
      <c r="I535" t="s">
        <v>75</v>
      </c>
      <c r="J535" t="s">
        <v>74</v>
      </c>
      <c r="K535" t="s">
        <v>2429</v>
      </c>
      <c r="L535" t="s">
        <v>77</v>
      </c>
      <c r="M535" t="s">
        <v>78</v>
      </c>
      <c r="N535" t="s">
        <v>499</v>
      </c>
      <c r="O535" t="s">
        <v>2060</v>
      </c>
      <c r="P535" t="s">
        <v>2417</v>
      </c>
      <c r="X535">
        <v>6</v>
      </c>
      <c r="AF535" t="s">
        <v>400</v>
      </c>
      <c r="AG535" t="s">
        <v>296</v>
      </c>
      <c r="AH535" t="s">
        <v>400</v>
      </c>
      <c r="AJ535">
        <v>0</v>
      </c>
      <c r="AK535">
        <v>0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0.9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277.14</v>
      </c>
      <c r="BE535">
        <v>0</v>
      </c>
      <c r="BF535">
        <v>240</v>
      </c>
      <c r="BG535">
        <v>0</v>
      </c>
      <c r="BH535">
        <v>0</v>
      </c>
      <c r="BI535">
        <v>48</v>
      </c>
      <c r="BJ535">
        <v>0</v>
      </c>
      <c r="BK535">
        <v>0</v>
      </c>
      <c r="BL535">
        <v>0</v>
      </c>
      <c r="BM535">
        <v>0</v>
      </c>
      <c r="BN535">
        <v>566.04</v>
      </c>
      <c r="BO535">
        <v>90.56</v>
      </c>
      <c r="BP535">
        <v>22.65</v>
      </c>
      <c r="BQ535">
        <f t="shared" si="8"/>
        <v>633.94999999999993</v>
      </c>
      <c r="BR535" t="s">
        <v>501</v>
      </c>
    </row>
    <row r="536" spans="1:70">
      <c r="A536" t="s">
        <v>2430</v>
      </c>
      <c r="B536" t="s">
        <v>2431</v>
      </c>
      <c r="C536" t="s">
        <v>71</v>
      </c>
      <c r="D536" t="s">
        <v>289</v>
      </c>
      <c r="E536" t="s">
        <v>73</v>
      </c>
      <c r="F536" t="s">
        <v>74</v>
      </c>
      <c r="G536">
        <v>241602</v>
      </c>
      <c r="H536" t="s">
        <v>74</v>
      </c>
      <c r="I536" t="s">
        <v>75</v>
      </c>
      <c r="J536" t="s">
        <v>74</v>
      </c>
      <c r="K536" t="s">
        <v>2432</v>
      </c>
      <c r="L536" t="s">
        <v>77</v>
      </c>
      <c r="M536" t="s">
        <v>78</v>
      </c>
      <c r="N536" t="s">
        <v>474</v>
      </c>
      <c r="O536" t="s">
        <v>1705</v>
      </c>
      <c r="P536" t="s">
        <v>2417</v>
      </c>
      <c r="AD536">
        <v>4</v>
      </c>
      <c r="AF536" t="s">
        <v>326</v>
      </c>
      <c r="AG536" t="s">
        <v>296</v>
      </c>
      <c r="AH536" t="s">
        <v>326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0.6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279.12</v>
      </c>
      <c r="BE536">
        <v>0</v>
      </c>
      <c r="BF536">
        <v>160</v>
      </c>
      <c r="BG536">
        <v>0</v>
      </c>
      <c r="BH536">
        <v>0</v>
      </c>
      <c r="BI536">
        <v>32</v>
      </c>
      <c r="BJ536">
        <v>0</v>
      </c>
      <c r="BK536">
        <v>0</v>
      </c>
      <c r="BL536">
        <v>0</v>
      </c>
      <c r="BM536">
        <v>0</v>
      </c>
      <c r="BN536">
        <v>471.72</v>
      </c>
      <c r="BO536">
        <v>75.48</v>
      </c>
      <c r="BP536">
        <v>18.86</v>
      </c>
      <c r="BQ536">
        <f t="shared" si="8"/>
        <v>528.34</v>
      </c>
      <c r="BR536" t="s">
        <v>476</v>
      </c>
    </row>
    <row r="537" spans="1:70">
      <c r="A537" t="s">
        <v>2433</v>
      </c>
      <c r="B537" t="s">
        <v>2434</v>
      </c>
      <c r="C537" t="s">
        <v>71</v>
      </c>
      <c r="D537" t="s">
        <v>289</v>
      </c>
      <c r="E537" t="s">
        <v>73</v>
      </c>
      <c r="F537" t="s">
        <v>74</v>
      </c>
      <c r="G537">
        <v>241607</v>
      </c>
      <c r="H537" t="s">
        <v>74</v>
      </c>
      <c r="I537" t="s">
        <v>75</v>
      </c>
      <c r="J537" t="s">
        <v>74</v>
      </c>
      <c r="K537" t="s">
        <v>2435</v>
      </c>
      <c r="L537" t="s">
        <v>77</v>
      </c>
      <c r="M537" t="s">
        <v>78</v>
      </c>
      <c r="N537" t="s">
        <v>674</v>
      </c>
      <c r="O537" t="s">
        <v>2436</v>
      </c>
      <c r="P537" t="s">
        <v>2417</v>
      </c>
      <c r="X537">
        <v>15</v>
      </c>
      <c r="AF537" t="s">
        <v>235</v>
      </c>
      <c r="AG537" t="s">
        <v>296</v>
      </c>
      <c r="AH537" t="s">
        <v>235</v>
      </c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2.25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231.75</v>
      </c>
      <c r="BE537">
        <v>0</v>
      </c>
      <c r="BF537">
        <v>600</v>
      </c>
      <c r="BG537">
        <v>0</v>
      </c>
      <c r="BH537">
        <v>0</v>
      </c>
      <c r="BI537">
        <v>120</v>
      </c>
      <c r="BJ537">
        <v>0</v>
      </c>
      <c r="BK537">
        <v>0</v>
      </c>
      <c r="BL537">
        <v>0</v>
      </c>
      <c r="BM537">
        <v>0</v>
      </c>
      <c r="BN537">
        <v>954</v>
      </c>
      <c r="BO537">
        <v>152.63999999999999</v>
      </c>
      <c r="BP537">
        <v>38.159999999999997</v>
      </c>
      <c r="BQ537">
        <f t="shared" si="8"/>
        <v>1068.4799999999998</v>
      </c>
      <c r="BR537" t="s">
        <v>674</v>
      </c>
    </row>
    <row r="538" spans="1:70">
      <c r="A538" t="s">
        <v>2437</v>
      </c>
      <c r="B538" t="s">
        <v>2438</v>
      </c>
      <c r="C538" t="s">
        <v>71</v>
      </c>
      <c r="D538" t="s">
        <v>289</v>
      </c>
      <c r="E538" t="s">
        <v>73</v>
      </c>
      <c r="F538" t="s">
        <v>74</v>
      </c>
      <c r="G538">
        <v>241609</v>
      </c>
      <c r="H538" t="s">
        <v>74</v>
      </c>
      <c r="I538" t="s">
        <v>75</v>
      </c>
      <c r="J538" t="s">
        <v>74</v>
      </c>
      <c r="K538" t="s">
        <v>2439</v>
      </c>
      <c r="L538" t="s">
        <v>77</v>
      </c>
      <c r="M538" t="s">
        <v>78</v>
      </c>
      <c r="N538" t="s">
        <v>406</v>
      </c>
      <c r="O538" t="s">
        <v>2440</v>
      </c>
      <c r="P538" t="s">
        <v>2417</v>
      </c>
      <c r="X538">
        <v>8</v>
      </c>
      <c r="AF538" t="s">
        <v>1006</v>
      </c>
      <c r="AG538" t="s">
        <v>296</v>
      </c>
      <c r="AH538" t="s">
        <v>1006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1.2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123.6</v>
      </c>
      <c r="BE538">
        <v>0</v>
      </c>
      <c r="BF538">
        <v>320</v>
      </c>
      <c r="BG538">
        <v>0</v>
      </c>
      <c r="BH538">
        <v>0</v>
      </c>
      <c r="BI538">
        <v>64</v>
      </c>
      <c r="BJ538">
        <v>0</v>
      </c>
      <c r="BK538">
        <v>0</v>
      </c>
      <c r="BL538">
        <v>0</v>
      </c>
      <c r="BM538">
        <v>0</v>
      </c>
      <c r="BN538">
        <v>508.8</v>
      </c>
      <c r="BO538">
        <v>81.41</v>
      </c>
      <c r="BP538">
        <v>20.350000000000001</v>
      </c>
      <c r="BQ538">
        <f t="shared" si="8"/>
        <v>569.86</v>
      </c>
      <c r="BR538" t="s">
        <v>406</v>
      </c>
    </row>
    <row r="539" spans="1:70">
      <c r="A539" t="s">
        <v>2441</v>
      </c>
      <c r="B539" t="s">
        <v>2442</v>
      </c>
      <c r="C539" t="s">
        <v>71</v>
      </c>
      <c r="D539" t="s">
        <v>289</v>
      </c>
      <c r="E539" t="s">
        <v>73</v>
      </c>
      <c r="F539" t="s">
        <v>74</v>
      </c>
      <c r="G539">
        <v>241614</v>
      </c>
      <c r="H539" t="s">
        <v>74</v>
      </c>
      <c r="I539" t="s">
        <v>75</v>
      </c>
      <c r="J539" t="s">
        <v>74</v>
      </c>
      <c r="K539" t="s">
        <v>2443</v>
      </c>
      <c r="L539" t="s">
        <v>77</v>
      </c>
      <c r="M539" t="s">
        <v>78</v>
      </c>
      <c r="N539" t="s">
        <v>79</v>
      </c>
      <c r="O539" t="s">
        <v>1021</v>
      </c>
      <c r="P539" t="s">
        <v>2417</v>
      </c>
      <c r="X539">
        <v>30</v>
      </c>
      <c r="AF539" t="s">
        <v>593</v>
      </c>
      <c r="AG539" t="s">
        <v>296</v>
      </c>
      <c r="AH539" t="s">
        <v>593</v>
      </c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4.5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>
        <v>463.5</v>
      </c>
      <c r="BE539">
        <v>0</v>
      </c>
      <c r="BF539">
        <v>1200</v>
      </c>
      <c r="BG539">
        <v>0</v>
      </c>
      <c r="BH539">
        <v>0</v>
      </c>
      <c r="BI539">
        <v>240</v>
      </c>
      <c r="BJ539">
        <v>0</v>
      </c>
      <c r="BK539">
        <v>0</v>
      </c>
      <c r="BL539">
        <v>0</v>
      </c>
      <c r="BM539">
        <v>0</v>
      </c>
      <c r="BN539">
        <v>1908</v>
      </c>
      <c r="BO539">
        <v>305.27999999999997</v>
      </c>
      <c r="BP539">
        <v>76.319999999999993</v>
      </c>
      <c r="BQ539">
        <f t="shared" si="8"/>
        <v>2136.9599999999996</v>
      </c>
      <c r="BR539" t="s">
        <v>83</v>
      </c>
    </row>
    <row r="540" spans="1:70">
      <c r="A540" t="s">
        <v>2444</v>
      </c>
      <c r="B540" t="s">
        <v>2445</v>
      </c>
      <c r="C540" t="s">
        <v>71</v>
      </c>
      <c r="D540" t="s">
        <v>289</v>
      </c>
      <c r="E540" t="s">
        <v>73</v>
      </c>
      <c r="F540" t="s">
        <v>74</v>
      </c>
      <c r="G540">
        <v>241611</v>
      </c>
      <c r="H540" t="s">
        <v>74</v>
      </c>
      <c r="I540" t="s">
        <v>75</v>
      </c>
      <c r="J540" t="s">
        <v>74</v>
      </c>
      <c r="K540" t="s">
        <v>2446</v>
      </c>
      <c r="L540" t="s">
        <v>77</v>
      </c>
      <c r="M540" t="s">
        <v>78</v>
      </c>
      <c r="N540" t="s">
        <v>421</v>
      </c>
      <c r="O540" t="s">
        <v>1186</v>
      </c>
      <c r="P540" t="s">
        <v>2417</v>
      </c>
      <c r="X540">
        <v>12</v>
      </c>
      <c r="AF540" t="s">
        <v>379</v>
      </c>
      <c r="AG540" t="s">
        <v>296</v>
      </c>
      <c r="AH540" t="s">
        <v>379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1.8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554.28</v>
      </c>
      <c r="BE540">
        <v>0</v>
      </c>
      <c r="BF540">
        <v>480</v>
      </c>
      <c r="BG540">
        <v>0</v>
      </c>
      <c r="BH540">
        <v>0</v>
      </c>
      <c r="BI540">
        <v>96</v>
      </c>
      <c r="BJ540">
        <v>0</v>
      </c>
      <c r="BK540">
        <v>0</v>
      </c>
      <c r="BL540">
        <v>0</v>
      </c>
      <c r="BM540">
        <v>0</v>
      </c>
      <c r="BN540">
        <v>1132.08</v>
      </c>
      <c r="BO540">
        <v>181.13</v>
      </c>
      <c r="BP540">
        <v>45.28</v>
      </c>
      <c r="BQ540">
        <f t="shared" si="8"/>
        <v>1267.93</v>
      </c>
      <c r="BR540" t="s">
        <v>423</v>
      </c>
    </row>
    <row r="541" spans="1:70">
      <c r="A541" t="s">
        <v>2447</v>
      </c>
      <c r="B541" t="s">
        <v>2448</v>
      </c>
      <c r="C541" t="s">
        <v>71</v>
      </c>
      <c r="D541" t="s">
        <v>289</v>
      </c>
      <c r="E541" t="s">
        <v>73</v>
      </c>
      <c r="F541" t="s">
        <v>74</v>
      </c>
      <c r="G541">
        <v>241612</v>
      </c>
      <c r="H541" t="s">
        <v>74</v>
      </c>
      <c r="I541" t="s">
        <v>75</v>
      </c>
      <c r="J541" t="s">
        <v>74</v>
      </c>
      <c r="K541" t="s">
        <v>2449</v>
      </c>
      <c r="L541" t="s">
        <v>77</v>
      </c>
      <c r="M541" t="s">
        <v>78</v>
      </c>
      <c r="N541" t="s">
        <v>137</v>
      </c>
      <c r="O541" t="s">
        <v>490</v>
      </c>
      <c r="P541" t="s">
        <v>2417</v>
      </c>
      <c r="X541">
        <v>27</v>
      </c>
      <c r="AF541" t="s">
        <v>868</v>
      </c>
      <c r="AG541" t="s">
        <v>296</v>
      </c>
      <c r="AH541" t="s">
        <v>868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4.05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1247.1300000000001</v>
      </c>
      <c r="BE541">
        <v>0</v>
      </c>
      <c r="BF541">
        <v>1080</v>
      </c>
      <c r="BG541">
        <v>0</v>
      </c>
      <c r="BH541">
        <v>0</v>
      </c>
      <c r="BI541">
        <v>216</v>
      </c>
      <c r="BJ541">
        <v>0</v>
      </c>
      <c r="BK541">
        <v>0</v>
      </c>
      <c r="BL541">
        <v>0</v>
      </c>
      <c r="BM541">
        <v>0</v>
      </c>
      <c r="BN541">
        <v>2547.1799999999998</v>
      </c>
      <c r="BO541">
        <v>407.55</v>
      </c>
      <c r="BP541">
        <v>101.89</v>
      </c>
      <c r="BQ541">
        <f t="shared" si="8"/>
        <v>2852.84</v>
      </c>
      <c r="BR541" t="s">
        <v>141</v>
      </c>
    </row>
    <row r="542" spans="1:70">
      <c r="A542" t="s">
        <v>2450</v>
      </c>
      <c r="B542" t="s">
        <v>2451</v>
      </c>
      <c r="C542" t="s">
        <v>71</v>
      </c>
      <c r="D542" t="s">
        <v>289</v>
      </c>
      <c r="E542" t="s">
        <v>73</v>
      </c>
      <c r="F542" t="s">
        <v>74</v>
      </c>
      <c r="G542">
        <v>241615</v>
      </c>
      <c r="H542" t="s">
        <v>74</v>
      </c>
      <c r="I542" t="s">
        <v>75</v>
      </c>
      <c r="J542" t="s">
        <v>74</v>
      </c>
      <c r="K542" t="s">
        <v>2452</v>
      </c>
      <c r="L542" t="s">
        <v>77</v>
      </c>
      <c r="M542" t="s">
        <v>78</v>
      </c>
      <c r="N542" t="s">
        <v>343</v>
      </c>
      <c r="O542" t="s">
        <v>427</v>
      </c>
      <c r="P542" t="s">
        <v>2417</v>
      </c>
      <c r="X542">
        <v>14</v>
      </c>
      <c r="AF542" t="s">
        <v>413</v>
      </c>
      <c r="AG542" t="s">
        <v>296</v>
      </c>
      <c r="AH542" t="s">
        <v>413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2.1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216.3</v>
      </c>
      <c r="BE542">
        <v>0</v>
      </c>
      <c r="BF542">
        <v>560</v>
      </c>
      <c r="BG542">
        <v>0</v>
      </c>
      <c r="BH542">
        <v>0</v>
      </c>
      <c r="BI542">
        <v>112</v>
      </c>
      <c r="BJ542">
        <v>0</v>
      </c>
      <c r="BK542">
        <v>0</v>
      </c>
      <c r="BL542">
        <v>0</v>
      </c>
      <c r="BM542">
        <v>0</v>
      </c>
      <c r="BN542">
        <v>890.4</v>
      </c>
      <c r="BO542">
        <v>142.47</v>
      </c>
      <c r="BP542">
        <v>35.61</v>
      </c>
      <c r="BQ542">
        <f t="shared" si="8"/>
        <v>997.25999999999988</v>
      </c>
      <c r="BR542" t="s">
        <v>343</v>
      </c>
    </row>
    <row r="543" spans="1:70">
      <c r="A543" t="s">
        <v>2453</v>
      </c>
      <c r="B543" t="s">
        <v>2454</v>
      </c>
      <c r="C543" t="s">
        <v>71</v>
      </c>
      <c r="D543" t="s">
        <v>289</v>
      </c>
      <c r="E543" t="s">
        <v>73</v>
      </c>
      <c r="F543" t="s">
        <v>74</v>
      </c>
      <c r="G543">
        <v>241620</v>
      </c>
      <c r="H543" t="s">
        <v>74</v>
      </c>
      <c r="I543" t="s">
        <v>75</v>
      </c>
      <c r="J543" t="s">
        <v>74</v>
      </c>
      <c r="K543" t="s">
        <v>2455</v>
      </c>
      <c r="L543" t="s">
        <v>77</v>
      </c>
      <c r="M543" t="s">
        <v>78</v>
      </c>
      <c r="N543" t="s">
        <v>92</v>
      </c>
      <c r="O543" t="s">
        <v>712</v>
      </c>
      <c r="P543" t="s">
        <v>2417</v>
      </c>
      <c r="V543">
        <v>1</v>
      </c>
      <c r="AF543" t="s">
        <v>295</v>
      </c>
      <c r="AG543" t="s">
        <v>296</v>
      </c>
      <c r="AH543" t="s">
        <v>295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0.15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375.85</v>
      </c>
      <c r="BE543">
        <v>0</v>
      </c>
      <c r="BF543">
        <v>40</v>
      </c>
      <c r="BG543">
        <v>0</v>
      </c>
      <c r="BH543">
        <v>0</v>
      </c>
      <c r="BI543">
        <v>8</v>
      </c>
      <c r="BJ543">
        <v>0</v>
      </c>
      <c r="BK543">
        <v>0</v>
      </c>
      <c r="BL543">
        <v>0</v>
      </c>
      <c r="BM543">
        <v>0</v>
      </c>
      <c r="BN543">
        <v>424</v>
      </c>
      <c r="BO543">
        <v>67.84</v>
      </c>
      <c r="BP543">
        <v>16.96</v>
      </c>
      <c r="BQ543">
        <f t="shared" si="8"/>
        <v>474.88000000000005</v>
      </c>
      <c r="BR543" t="s">
        <v>371</v>
      </c>
    </row>
    <row r="544" spans="1:70">
      <c r="A544" t="s">
        <v>2456</v>
      </c>
      <c r="B544" t="s">
        <v>2457</v>
      </c>
      <c r="C544" t="s">
        <v>71</v>
      </c>
      <c r="D544" t="s">
        <v>289</v>
      </c>
      <c r="E544" t="s">
        <v>73</v>
      </c>
      <c r="F544" t="s">
        <v>74</v>
      </c>
      <c r="G544">
        <v>241657</v>
      </c>
      <c r="H544" t="s">
        <v>74</v>
      </c>
      <c r="I544" t="s">
        <v>75</v>
      </c>
      <c r="J544" t="s">
        <v>74</v>
      </c>
      <c r="K544" t="s">
        <v>2458</v>
      </c>
      <c r="L544" t="s">
        <v>77</v>
      </c>
      <c r="M544" t="s">
        <v>78</v>
      </c>
      <c r="N544" t="s">
        <v>2459</v>
      </c>
      <c r="O544" t="s">
        <v>2460</v>
      </c>
      <c r="P544" t="s">
        <v>2417</v>
      </c>
      <c r="V544">
        <v>1</v>
      </c>
      <c r="AF544" t="s">
        <v>295</v>
      </c>
      <c r="AG544" t="s">
        <v>296</v>
      </c>
      <c r="AH544" t="s">
        <v>295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0.15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  <c r="AZ544">
        <v>0</v>
      </c>
      <c r="BA544">
        <v>0</v>
      </c>
      <c r="BB544">
        <v>0</v>
      </c>
      <c r="BC544">
        <v>0</v>
      </c>
      <c r="BD544">
        <v>375.85</v>
      </c>
      <c r="BE544">
        <v>0</v>
      </c>
      <c r="BF544">
        <v>40</v>
      </c>
      <c r="BG544">
        <v>0</v>
      </c>
      <c r="BH544">
        <v>0</v>
      </c>
      <c r="BI544">
        <v>8</v>
      </c>
      <c r="BJ544">
        <v>0</v>
      </c>
      <c r="BK544">
        <v>0</v>
      </c>
      <c r="BL544">
        <v>0</v>
      </c>
      <c r="BM544">
        <v>0</v>
      </c>
      <c r="BN544">
        <v>424</v>
      </c>
      <c r="BO544">
        <v>67.84</v>
      </c>
      <c r="BP544">
        <v>16.96</v>
      </c>
      <c r="BQ544">
        <f t="shared" si="8"/>
        <v>474.88000000000005</v>
      </c>
      <c r="BR544" t="s">
        <v>343</v>
      </c>
    </row>
    <row r="545" spans="1:70">
      <c r="A545" t="s">
        <v>2461</v>
      </c>
      <c r="B545" t="s">
        <v>2462</v>
      </c>
      <c r="C545" t="s">
        <v>71</v>
      </c>
      <c r="D545" t="s">
        <v>289</v>
      </c>
      <c r="E545" t="s">
        <v>73</v>
      </c>
      <c r="F545" t="s">
        <v>74</v>
      </c>
      <c r="G545">
        <v>241670</v>
      </c>
      <c r="H545" t="s">
        <v>74</v>
      </c>
      <c r="I545" t="s">
        <v>75</v>
      </c>
      <c r="J545" t="s">
        <v>74</v>
      </c>
      <c r="K545" t="s">
        <v>2463</v>
      </c>
      <c r="L545" t="s">
        <v>77</v>
      </c>
      <c r="M545" t="s">
        <v>78</v>
      </c>
      <c r="N545" t="s">
        <v>964</v>
      </c>
      <c r="O545" t="s">
        <v>1050</v>
      </c>
      <c r="P545" t="s">
        <v>2417</v>
      </c>
      <c r="X545">
        <v>11</v>
      </c>
      <c r="AF545" t="s">
        <v>470</v>
      </c>
      <c r="AG545" t="s">
        <v>296</v>
      </c>
      <c r="AH545" t="s">
        <v>470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1.65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508.09</v>
      </c>
      <c r="BE545">
        <v>0</v>
      </c>
      <c r="BF545">
        <v>440</v>
      </c>
      <c r="BG545">
        <v>0</v>
      </c>
      <c r="BH545">
        <v>0</v>
      </c>
      <c r="BI545">
        <v>88</v>
      </c>
      <c r="BJ545">
        <v>0</v>
      </c>
      <c r="BK545">
        <v>0</v>
      </c>
      <c r="BL545">
        <v>0</v>
      </c>
      <c r="BM545">
        <v>0</v>
      </c>
      <c r="BN545">
        <v>1037.74</v>
      </c>
      <c r="BO545">
        <v>166.03</v>
      </c>
      <c r="BP545">
        <v>41.51</v>
      </c>
      <c r="BQ545">
        <f t="shared" si="8"/>
        <v>1162.26</v>
      </c>
      <c r="BR545" t="s">
        <v>964</v>
      </c>
    </row>
    <row r="546" spans="1:70">
      <c r="A546" t="s">
        <v>2464</v>
      </c>
      <c r="B546" t="s">
        <v>2465</v>
      </c>
      <c r="C546" t="s">
        <v>71</v>
      </c>
      <c r="D546" t="s">
        <v>289</v>
      </c>
      <c r="E546" t="s">
        <v>73</v>
      </c>
      <c r="F546" t="s">
        <v>74</v>
      </c>
      <c r="G546">
        <v>241678</v>
      </c>
      <c r="H546" t="s">
        <v>74</v>
      </c>
      <c r="I546" t="s">
        <v>75</v>
      </c>
      <c r="J546" t="s">
        <v>74</v>
      </c>
      <c r="K546" t="s">
        <v>2466</v>
      </c>
      <c r="L546" t="s">
        <v>77</v>
      </c>
      <c r="M546" t="s">
        <v>78</v>
      </c>
      <c r="N546" t="s">
        <v>1088</v>
      </c>
      <c r="O546" t="s">
        <v>2467</v>
      </c>
      <c r="P546" t="s">
        <v>2417</v>
      </c>
      <c r="X546">
        <v>12</v>
      </c>
      <c r="AF546" t="s">
        <v>379</v>
      </c>
      <c r="AG546" t="s">
        <v>296</v>
      </c>
      <c r="AH546" t="s">
        <v>379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1.8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0</v>
      </c>
      <c r="BA546">
        <v>0</v>
      </c>
      <c r="BB546">
        <v>0</v>
      </c>
      <c r="BC546">
        <v>0</v>
      </c>
      <c r="BD546">
        <v>185.4</v>
      </c>
      <c r="BE546">
        <v>0</v>
      </c>
      <c r="BF546">
        <v>480</v>
      </c>
      <c r="BG546">
        <v>0</v>
      </c>
      <c r="BH546">
        <v>0</v>
      </c>
      <c r="BI546">
        <v>96</v>
      </c>
      <c r="BJ546">
        <v>0</v>
      </c>
      <c r="BK546">
        <v>0</v>
      </c>
      <c r="BL546">
        <v>0</v>
      </c>
      <c r="BM546">
        <v>0</v>
      </c>
      <c r="BN546">
        <v>763.2</v>
      </c>
      <c r="BO546">
        <v>122.11</v>
      </c>
      <c r="BP546">
        <v>30.53</v>
      </c>
      <c r="BQ546">
        <f t="shared" si="8"/>
        <v>854.78000000000009</v>
      </c>
      <c r="BR546" t="s">
        <v>83</v>
      </c>
    </row>
    <row r="547" spans="1:70">
      <c r="A547" t="s">
        <v>2468</v>
      </c>
      <c r="B547" t="s">
        <v>2469</v>
      </c>
      <c r="C547" t="s">
        <v>71</v>
      </c>
      <c r="D547" t="s">
        <v>289</v>
      </c>
      <c r="E547" t="s">
        <v>73</v>
      </c>
      <c r="F547" t="s">
        <v>74</v>
      </c>
      <c r="G547">
        <v>241679</v>
      </c>
      <c r="H547" t="s">
        <v>74</v>
      </c>
      <c r="I547" t="s">
        <v>75</v>
      </c>
      <c r="J547" t="s">
        <v>74</v>
      </c>
      <c r="K547" t="s">
        <v>2470</v>
      </c>
      <c r="L547" t="s">
        <v>77</v>
      </c>
      <c r="M547" t="s">
        <v>78</v>
      </c>
      <c r="N547" t="s">
        <v>349</v>
      </c>
      <c r="O547" t="s">
        <v>2471</v>
      </c>
      <c r="P547" t="s">
        <v>2417</v>
      </c>
      <c r="X547">
        <v>14</v>
      </c>
      <c r="AF547" t="s">
        <v>413</v>
      </c>
      <c r="AG547" t="s">
        <v>296</v>
      </c>
      <c r="AH547" t="s">
        <v>413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2.1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646.66</v>
      </c>
      <c r="BE547">
        <v>0</v>
      </c>
      <c r="BF547">
        <v>560</v>
      </c>
      <c r="BG547">
        <v>0</v>
      </c>
      <c r="BH547">
        <v>0</v>
      </c>
      <c r="BI547">
        <v>112</v>
      </c>
      <c r="BJ547">
        <v>0</v>
      </c>
      <c r="BK547">
        <v>0</v>
      </c>
      <c r="BL547">
        <v>0</v>
      </c>
      <c r="BM547">
        <v>0</v>
      </c>
      <c r="BN547">
        <v>1320.76</v>
      </c>
      <c r="BO547">
        <v>211.33</v>
      </c>
      <c r="BP547">
        <v>52.83</v>
      </c>
      <c r="BQ547">
        <f t="shared" si="8"/>
        <v>1479.26</v>
      </c>
      <c r="BR547" t="s">
        <v>349</v>
      </c>
    </row>
    <row r="548" spans="1:70">
      <c r="A548" t="s">
        <v>2472</v>
      </c>
      <c r="B548" t="s">
        <v>2473</v>
      </c>
      <c r="C548" t="s">
        <v>71</v>
      </c>
      <c r="D548" t="s">
        <v>289</v>
      </c>
      <c r="E548" t="s">
        <v>73</v>
      </c>
      <c r="F548" t="s">
        <v>74</v>
      </c>
      <c r="G548">
        <v>241650</v>
      </c>
      <c r="H548" t="s">
        <v>74</v>
      </c>
      <c r="I548" t="s">
        <v>75</v>
      </c>
      <c r="K548" t="s">
        <v>2474</v>
      </c>
      <c r="L548" t="s">
        <v>77</v>
      </c>
      <c r="M548" t="s">
        <v>78</v>
      </c>
      <c r="N548" t="s">
        <v>474</v>
      </c>
      <c r="O548" t="s">
        <v>475</v>
      </c>
      <c r="P548" t="s">
        <v>2417</v>
      </c>
      <c r="X548">
        <v>17</v>
      </c>
      <c r="AF548" t="s">
        <v>464</v>
      </c>
      <c r="AG548" t="s">
        <v>296</v>
      </c>
      <c r="AH548" t="s">
        <v>464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2.5499999999999998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785.23</v>
      </c>
      <c r="BE548">
        <v>0</v>
      </c>
      <c r="BF548">
        <v>680</v>
      </c>
      <c r="BG548">
        <v>0</v>
      </c>
      <c r="BH548">
        <v>0</v>
      </c>
      <c r="BI548">
        <v>136</v>
      </c>
      <c r="BJ548">
        <v>0</v>
      </c>
      <c r="BK548">
        <v>0</v>
      </c>
      <c r="BL548">
        <v>0</v>
      </c>
      <c r="BM548">
        <v>0</v>
      </c>
      <c r="BN548">
        <v>1603.78</v>
      </c>
      <c r="BO548">
        <v>256.61</v>
      </c>
      <c r="BP548">
        <v>64.150000000000006</v>
      </c>
      <c r="BQ548">
        <f t="shared" si="8"/>
        <v>1796.2399999999998</v>
      </c>
      <c r="BR548" t="s">
        <v>476</v>
      </c>
    </row>
    <row r="549" spans="1:70">
      <c r="A549" t="s">
        <v>2475</v>
      </c>
      <c r="B549" t="s">
        <v>2476</v>
      </c>
      <c r="C549" t="s">
        <v>71</v>
      </c>
      <c r="D549" t="s">
        <v>289</v>
      </c>
      <c r="E549" t="s">
        <v>73</v>
      </c>
      <c r="F549" t="s">
        <v>74</v>
      </c>
      <c r="G549">
        <v>241658</v>
      </c>
      <c r="H549" t="s">
        <v>74</v>
      </c>
      <c r="I549" t="s">
        <v>75</v>
      </c>
      <c r="J549" t="s">
        <v>74</v>
      </c>
      <c r="K549" t="s">
        <v>2477</v>
      </c>
      <c r="L549" t="s">
        <v>77</v>
      </c>
      <c r="M549" t="s">
        <v>78</v>
      </c>
      <c r="N549" t="s">
        <v>647</v>
      </c>
      <c r="O549" t="s">
        <v>2478</v>
      </c>
      <c r="P549" t="s">
        <v>2417</v>
      </c>
      <c r="X549">
        <v>11</v>
      </c>
      <c r="AF549" t="s">
        <v>470</v>
      </c>
      <c r="AG549" t="s">
        <v>296</v>
      </c>
      <c r="AH549" t="s">
        <v>470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1.65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169.95</v>
      </c>
      <c r="BE549">
        <v>0</v>
      </c>
      <c r="BF549">
        <v>440</v>
      </c>
      <c r="BG549">
        <v>0</v>
      </c>
      <c r="BH549">
        <v>0</v>
      </c>
      <c r="BI549">
        <v>88</v>
      </c>
      <c r="BJ549">
        <v>0</v>
      </c>
      <c r="BK549">
        <v>0</v>
      </c>
      <c r="BL549">
        <v>0</v>
      </c>
      <c r="BM549">
        <v>0</v>
      </c>
      <c r="BN549">
        <v>699.6</v>
      </c>
      <c r="BO549">
        <v>111.93</v>
      </c>
      <c r="BP549">
        <v>27.99</v>
      </c>
      <c r="BQ549">
        <f t="shared" si="8"/>
        <v>783.54</v>
      </c>
      <c r="BR549" t="s">
        <v>649</v>
      </c>
    </row>
    <row r="550" spans="1:70">
      <c r="A550" t="s">
        <v>2479</v>
      </c>
      <c r="B550" t="s">
        <v>2480</v>
      </c>
      <c r="C550" t="s">
        <v>71</v>
      </c>
      <c r="D550" t="s">
        <v>289</v>
      </c>
      <c r="E550" t="s">
        <v>73</v>
      </c>
      <c r="F550" t="s">
        <v>74</v>
      </c>
      <c r="G550">
        <v>241654</v>
      </c>
      <c r="H550" t="s">
        <v>74</v>
      </c>
      <c r="I550" t="s">
        <v>75</v>
      </c>
      <c r="J550" t="s">
        <v>74</v>
      </c>
      <c r="K550" t="s">
        <v>2481</v>
      </c>
      <c r="L550" t="s">
        <v>77</v>
      </c>
      <c r="M550" t="s">
        <v>78</v>
      </c>
      <c r="N550" t="s">
        <v>558</v>
      </c>
      <c r="O550" t="s">
        <v>559</v>
      </c>
      <c r="P550" t="s">
        <v>2417</v>
      </c>
      <c r="X550">
        <v>14</v>
      </c>
      <c r="AF550" t="s">
        <v>413</v>
      </c>
      <c r="AG550" t="s">
        <v>296</v>
      </c>
      <c r="AH550" t="s">
        <v>413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2.1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646.66</v>
      </c>
      <c r="BE550">
        <v>0</v>
      </c>
      <c r="BF550">
        <v>560</v>
      </c>
      <c r="BG550">
        <v>0</v>
      </c>
      <c r="BH550">
        <v>0</v>
      </c>
      <c r="BI550">
        <v>112</v>
      </c>
      <c r="BJ550">
        <v>0</v>
      </c>
      <c r="BK550">
        <v>0</v>
      </c>
      <c r="BL550">
        <v>0</v>
      </c>
      <c r="BM550">
        <v>0</v>
      </c>
      <c r="BN550">
        <v>1320.76</v>
      </c>
      <c r="BO550">
        <v>211.33</v>
      </c>
      <c r="BP550">
        <v>52.83</v>
      </c>
      <c r="BQ550">
        <f t="shared" si="8"/>
        <v>1479.26</v>
      </c>
      <c r="BR550" t="s">
        <v>560</v>
      </c>
    </row>
    <row r="551" spans="1:70">
      <c r="A551" t="s">
        <v>2482</v>
      </c>
      <c r="B551" t="s">
        <v>2483</v>
      </c>
      <c r="C551" t="s">
        <v>71</v>
      </c>
      <c r="D551" t="s">
        <v>289</v>
      </c>
      <c r="E551" t="s">
        <v>73</v>
      </c>
      <c r="F551" t="s">
        <v>74</v>
      </c>
      <c r="G551">
        <v>241659</v>
      </c>
      <c r="H551" t="s">
        <v>74</v>
      </c>
      <c r="I551" t="s">
        <v>75</v>
      </c>
      <c r="J551" t="s">
        <v>74</v>
      </c>
      <c r="K551" t="s">
        <v>2484</v>
      </c>
      <c r="L551" t="s">
        <v>77</v>
      </c>
      <c r="M551" t="s">
        <v>78</v>
      </c>
      <c r="N551" t="s">
        <v>461</v>
      </c>
      <c r="O551" t="s">
        <v>573</v>
      </c>
      <c r="P551" t="s">
        <v>2417</v>
      </c>
      <c r="X551">
        <v>28</v>
      </c>
      <c r="AF551" t="s">
        <v>1238</v>
      </c>
      <c r="AG551" t="s">
        <v>296</v>
      </c>
      <c r="AH551" t="s">
        <v>1238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4.2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432.6</v>
      </c>
      <c r="BE551">
        <v>0</v>
      </c>
      <c r="BF551">
        <v>1120</v>
      </c>
      <c r="BG551">
        <v>0</v>
      </c>
      <c r="BH551">
        <v>0</v>
      </c>
      <c r="BI551">
        <v>224</v>
      </c>
      <c r="BJ551">
        <v>0</v>
      </c>
      <c r="BK551">
        <v>0</v>
      </c>
      <c r="BL551">
        <v>0</v>
      </c>
      <c r="BM551">
        <v>0</v>
      </c>
      <c r="BN551">
        <v>1780.8</v>
      </c>
      <c r="BO551">
        <v>284.93</v>
      </c>
      <c r="BP551">
        <v>71.23</v>
      </c>
      <c r="BQ551">
        <f t="shared" si="8"/>
        <v>1994.5</v>
      </c>
      <c r="BR551" t="s">
        <v>83</v>
      </c>
    </row>
    <row r="552" spans="1:70">
      <c r="A552" t="s">
        <v>2485</v>
      </c>
      <c r="B552" t="s">
        <v>2486</v>
      </c>
      <c r="C552" t="s">
        <v>71</v>
      </c>
      <c r="D552" t="s">
        <v>289</v>
      </c>
      <c r="E552" t="s">
        <v>73</v>
      </c>
      <c r="F552" t="s">
        <v>74</v>
      </c>
      <c r="G552">
        <v>241649</v>
      </c>
      <c r="H552" t="s">
        <v>74</v>
      </c>
      <c r="I552" t="s">
        <v>75</v>
      </c>
      <c r="K552" t="s">
        <v>2487</v>
      </c>
      <c r="L552" t="s">
        <v>77</v>
      </c>
      <c r="M552" t="s">
        <v>78</v>
      </c>
      <c r="N552" t="s">
        <v>591</v>
      </c>
      <c r="O552" t="s">
        <v>2488</v>
      </c>
      <c r="P552" t="s">
        <v>2417</v>
      </c>
      <c r="X552">
        <v>16</v>
      </c>
      <c r="AF552" t="s">
        <v>482</v>
      </c>
      <c r="AG552" t="s">
        <v>296</v>
      </c>
      <c r="AH552" t="s">
        <v>482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2.4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739.04</v>
      </c>
      <c r="BE552">
        <v>0</v>
      </c>
      <c r="BF552">
        <v>640</v>
      </c>
      <c r="BG552">
        <v>0</v>
      </c>
      <c r="BH552">
        <v>0</v>
      </c>
      <c r="BI552">
        <v>128</v>
      </c>
      <c r="BJ552">
        <v>0</v>
      </c>
      <c r="BK552">
        <v>0</v>
      </c>
      <c r="BL552">
        <v>0</v>
      </c>
      <c r="BM552">
        <v>0</v>
      </c>
      <c r="BN552">
        <v>1509.44</v>
      </c>
      <c r="BO552">
        <v>241.51</v>
      </c>
      <c r="BP552">
        <v>60.38</v>
      </c>
      <c r="BQ552">
        <f t="shared" si="8"/>
        <v>1690.57</v>
      </c>
      <c r="BR552" t="s">
        <v>591</v>
      </c>
    </row>
    <row r="553" spans="1:70">
      <c r="A553" t="s">
        <v>2489</v>
      </c>
      <c r="B553" t="s">
        <v>2490</v>
      </c>
      <c r="C553" t="s">
        <v>71</v>
      </c>
      <c r="D553" t="s">
        <v>289</v>
      </c>
      <c r="E553" t="s">
        <v>73</v>
      </c>
      <c r="F553" t="s">
        <v>74</v>
      </c>
      <c r="G553">
        <v>241661</v>
      </c>
      <c r="H553" t="s">
        <v>74</v>
      </c>
      <c r="I553" t="s">
        <v>75</v>
      </c>
      <c r="J553" t="s">
        <v>74</v>
      </c>
      <c r="K553" t="s">
        <v>2491</v>
      </c>
      <c r="L553" t="s">
        <v>77</v>
      </c>
      <c r="M553" t="s">
        <v>78</v>
      </c>
      <c r="N553" t="s">
        <v>586</v>
      </c>
      <c r="O553" t="s">
        <v>587</v>
      </c>
      <c r="P553" t="s">
        <v>2417</v>
      </c>
      <c r="X553">
        <v>24</v>
      </c>
      <c r="AF553" t="s">
        <v>1177</v>
      </c>
      <c r="AG553" t="s">
        <v>296</v>
      </c>
      <c r="AH553" t="s">
        <v>1177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3.6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>
        <v>1108.56</v>
      </c>
      <c r="BE553">
        <v>0</v>
      </c>
      <c r="BF553">
        <v>960</v>
      </c>
      <c r="BG553">
        <v>0</v>
      </c>
      <c r="BH553">
        <v>0</v>
      </c>
      <c r="BI553">
        <v>192</v>
      </c>
      <c r="BJ553">
        <v>0</v>
      </c>
      <c r="BK553">
        <v>0</v>
      </c>
      <c r="BL553">
        <v>0</v>
      </c>
      <c r="BM553">
        <v>0</v>
      </c>
      <c r="BN553">
        <v>2264.16</v>
      </c>
      <c r="BO553">
        <v>362.27</v>
      </c>
      <c r="BP553">
        <v>90.56</v>
      </c>
      <c r="BQ553">
        <f t="shared" si="8"/>
        <v>2535.87</v>
      </c>
      <c r="BR553" t="s">
        <v>586</v>
      </c>
    </row>
    <row r="554" spans="1:70">
      <c r="A554" t="s">
        <v>2492</v>
      </c>
      <c r="B554" t="s">
        <v>2493</v>
      </c>
      <c r="C554" t="s">
        <v>71</v>
      </c>
      <c r="D554" t="s">
        <v>289</v>
      </c>
      <c r="E554" t="s">
        <v>73</v>
      </c>
      <c r="F554" t="s">
        <v>74</v>
      </c>
      <c r="G554">
        <v>241660</v>
      </c>
      <c r="H554" t="s">
        <v>74</v>
      </c>
      <c r="I554" t="s">
        <v>75</v>
      </c>
      <c r="J554" t="s">
        <v>74</v>
      </c>
      <c r="K554" t="s">
        <v>2494</v>
      </c>
      <c r="L554" t="s">
        <v>77</v>
      </c>
      <c r="M554" t="s">
        <v>78</v>
      </c>
      <c r="N554" t="s">
        <v>674</v>
      </c>
      <c r="O554" t="s">
        <v>909</v>
      </c>
      <c r="P554" t="s">
        <v>2417</v>
      </c>
      <c r="X554">
        <v>13</v>
      </c>
      <c r="AF554" t="s">
        <v>434</v>
      </c>
      <c r="AG554" t="s">
        <v>296</v>
      </c>
      <c r="AH554" t="s">
        <v>434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1.95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200.85</v>
      </c>
      <c r="BE554">
        <v>0</v>
      </c>
      <c r="BF554">
        <v>520</v>
      </c>
      <c r="BG554">
        <v>0</v>
      </c>
      <c r="BH554">
        <v>0</v>
      </c>
      <c r="BI554">
        <v>104</v>
      </c>
      <c r="BJ554">
        <v>0</v>
      </c>
      <c r="BK554">
        <v>0</v>
      </c>
      <c r="BL554">
        <v>0</v>
      </c>
      <c r="BM554">
        <v>0</v>
      </c>
      <c r="BN554">
        <v>826.8</v>
      </c>
      <c r="BO554">
        <v>132.29</v>
      </c>
      <c r="BP554">
        <v>33.07</v>
      </c>
      <c r="BQ554">
        <f t="shared" si="8"/>
        <v>926.01999999999987</v>
      </c>
      <c r="BR554" t="s">
        <v>674</v>
      </c>
    </row>
    <row r="555" spans="1:70">
      <c r="A555" t="s">
        <v>2495</v>
      </c>
      <c r="B555" t="s">
        <v>2496</v>
      </c>
      <c r="C555" t="s">
        <v>71</v>
      </c>
      <c r="D555" t="s">
        <v>289</v>
      </c>
      <c r="E555" t="s">
        <v>73</v>
      </c>
      <c r="F555" t="s">
        <v>74</v>
      </c>
      <c r="G555">
        <v>241581</v>
      </c>
      <c r="H555" t="s">
        <v>74</v>
      </c>
      <c r="I555" t="s">
        <v>75</v>
      </c>
      <c r="J555" t="s">
        <v>74</v>
      </c>
      <c r="K555" t="s">
        <v>2497</v>
      </c>
      <c r="L555" t="s">
        <v>77</v>
      </c>
      <c r="M555" t="s">
        <v>78</v>
      </c>
      <c r="N555" t="s">
        <v>239</v>
      </c>
      <c r="O555" t="s">
        <v>2248</v>
      </c>
      <c r="P555" t="s">
        <v>2417</v>
      </c>
      <c r="V555">
        <v>1</v>
      </c>
      <c r="AF555" t="s">
        <v>295</v>
      </c>
      <c r="AG555" t="s">
        <v>296</v>
      </c>
      <c r="AH555" t="s">
        <v>295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0.15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375.85</v>
      </c>
      <c r="BE555">
        <v>0</v>
      </c>
      <c r="BF555">
        <v>40</v>
      </c>
      <c r="BG555">
        <v>0</v>
      </c>
      <c r="BH555">
        <v>0</v>
      </c>
      <c r="BI555">
        <v>8</v>
      </c>
      <c r="BJ555">
        <v>0</v>
      </c>
      <c r="BK555">
        <v>0</v>
      </c>
      <c r="BL555">
        <v>0</v>
      </c>
      <c r="BM555">
        <v>0</v>
      </c>
      <c r="BN555">
        <v>424</v>
      </c>
      <c r="BO555">
        <v>67.84</v>
      </c>
      <c r="BP555">
        <v>16.96</v>
      </c>
      <c r="BQ555">
        <f t="shared" si="8"/>
        <v>474.88000000000005</v>
      </c>
      <c r="BR555" t="s">
        <v>242</v>
      </c>
    </row>
    <row r="556" spans="1:70">
      <c r="A556" t="s">
        <v>2498</v>
      </c>
      <c r="B556" t="s">
        <v>2499</v>
      </c>
      <c r="C556" t="s">
        <v>71</v>
      </c>
      <c r="D556" t="s">
        <v>289</v>
      </c>
      <c r="E556" t="s">
        <v>73</v>
      </c>
      <c r="F556" t="s">
        <v>74</v>
      </c>
      <c r="G556">
        <v>241582</v>
      </c>
      <c r="H556" t="s">
        <v>74</v>
      </c>
      <c r="I556" t="s">
        <v>75</v>
      </c>
      <c r="J556" t="s">
        <v>74</v>
      </c>
      <c r="K556" t="s">
        <v>2500</v>
      </c>
      <c r="L556" t="s">
        <v>77</v>
      </c>
      <c r="M556" t="s">
        <v>78</v>
      </c>
      <c r="N556" t="s">
        <v>438</v>
      </c>
      <c r="O556" t="s">
        <v>2501</v>
      </c>
      <c r="P556" t="s">
        <v>2417</v>
      </c>
      <c r="AB556">
        <v>3</v>
      </c>
      <c r="AF556" t="s">
        <v>314</v>
      </c>
      <c r="AG556" t="s">
        <v>296</v>
      </c>
      <c r="AH556" t="s">
        <v>314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0.45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279.54000000000002</v>
      </c>
      <c r="BE556">
        <v>0</v>
      </c>
      <c r="BF556">
        <v>120</v>
      </c>
      <c r="BG556">
        <v>0</v>
      </c>
      <c r="BH556">
        <v>0</v>
      </c>
      <c r="BI556">
        <v>24</v>
      </c>
      <c r="BJ556">
        <v>0</v>
      </c>
      <c r="BK556">
        <v>0</v>
      </c>
      <c r="BL556">
        <v>0</v>
      </c>
      <c r="BM556">
        <v>0</v>
      </c>
      <c r="BN556">
        <v>423.99</v>
      </c>
      <c r="BO556">
        <v>67.84</v>
      </c>
      <c r="BP556">
        <v>16.96</v>
      </c>
      <c r="BQ556">
        <f t="shared" si="8"/>
        <v>474.87000000000006</v>
      </c>
      <c r="BR556" t="s">
        <v>440</v>
      </c>
    </row>
    <row r="557" spans="1:70">
      <c r="A557" t="s">
        <v>2502</v>
      </c>
      <c r="B557" t="s">
        <v>2503</v>
      </c>
      <c r="C557" t="s">
        <v>71</v>
      </c>
      <c r="D557" t="s">
        <v>289</v>
      </c>
      <c r="E557" t="s">
        <v>73</v>
      </c>
      <c r="F557" t="s">
        <v>74</v>
      </c>
      <c r="G557">
        <v>241598</v>
      </c>
      <c r="H557" t="s">
        <v>74</v>
      </c>
      <c r="I557" t="s">
        <v>75</v>
      </c>
      <c r="J557" t="s">
        <v>74</v>
      </c>
      <c r="K557" t="s">
        <v>2504</v>
      </c>
      <c r="L557" t="s">
        <v>77</v>
      </c>
      <c r="M557" t="s">
        <v>78</v>
      </c>
      <c r="N557" t="s">
        <v>2505</v>
      </c>
      <c r="O557" t="s">
        <v>2506</v>
      </c>
      <c r="P557" t="s">
        <v>2417</v>
      </c>
      <c r="X557">
        <v>14</v>
      </c>
      <c r="AF557" t="s">
        <v>413</v>
      </c>
      <c r="AG557" t="s">
        <v>296</v>
      </c>
      <c r="AH557" t="s">
        <v>413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2.1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0</v>
      </c>
      <c r="BC557">
        <v>0</v>
      </c>
      <c r="BD557">
        <v>216.3</v>
      </c>
      <c r="BE557">
        <v>0</v>
      </c>
      <c r="BF557">
        <v>560</v>
      </c>
      <c r="BG557">
        <v>0</v>
      </c>
      <c r="BH557">
        <v>0</v>
      </c>
      <c r="BI557">
        <v>112</v>
      </c>
      <c r="BJ557">
        <v>0</v>
      </c>
      <c r="BK557">
        <v>0</v>
      </c>
      <c r="BL557">
        <v>0</v>
      </c>
      <c r="BM557">
        <v>0</v>
      </c>
      <c r="BN557">
        <v>890.4</v>
      </c>
      <c r="BO557">
        <v>142.47</v>
      </c>
      <c r="BP557">
        <v>35.61</v>
      </c>
      <c r="BQ557">
        <f t="shared" si="8"/>
        <v>997.25999999999988</v>
      </c>
      <c r="BR557" t="s">
        <v>119</v>
      </c>
    </row>
    <row r="558" spans="1:70">
      <c r="A558" t="s">
        <v>2507</v>
      </c>
      <c r="B558" t="s">
        <v>2508</v>
      </c>
      <c r="C558" t="s">
        <v>71</v>
      </c>
      <c r="D558" t="s">
        <v>289</v>
      </c>
      <c r="E558" t="s">
        <v>73</v>
      </c>
      <c r="F558" t="s">
        <v>74</v>
      </c>
      <c r="G558">
        <v>241677</v>
      </c>
      <c r="H558" t="s">
        <v>74</v>
      </c>
      <c r="I558" t="s">
        <v>75</v>
      </c>
      <c r="J558" t="s">
        <v>74</v>
      </c>
      <c r="K558" t="s">
        <v>2509</v>
      </c>
      <c r="L558" t="s">
        <v>77</v>
      </c>
      <c r="M558" t="s">
        <v>78</v>
      </c>
      <c r="N558" t="s">
        <v>191</v>
      </c>
      <c r="O558" t="s">
        <v>549</v>
      </c>
      <c r="P558" t="s">
        <v>214</v>
      </c>
      <c r="X558">
        <v>10</v>
      </c>
      <c r="AF558" t="s">
        <v>372</v>
      </c>
      <c r="AG558" t="s">
        <v>296</v>
      </c>
      <c r="AH558" t="s">
        <v>372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1.5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461.9</v>
      </c>
      <c r="BE558">
        <v>0</v>
      </c>
      <c r="BF558">
        <v>400</v>
      </c>
      <c r="BG558">
        <v>0</v>
      </c>
      <c r="BH558">
        <v>0</v>
      </c>
      <c r="BI558">
        <v>80</v>
      </c>
      <c r="BJ558">
        <v>0</v>
      </c>
      <c r="BK558">
        <v>0</v>
      </c>
      <c r="BL558">
        <v>0</v>
      </c>
      <c r="BM558">
        <v>0</v>
      </c>
      <c r="BN558">
        <v>943.4</v>
      </c>
      <c r="BO558">
        <v>150.94</v>
      </c>
      <c r="BP558">
        <v>37.74</v>
      </c>
      <c r="BQ558">
        <f t="shared" si="8"/>
        <v>1056.5999999999999</v>
      </c>
      <c r="BR558" t="s">
        <v>195</v>
      </c>
    </row>
    <row r="559" spans="1:70">
      <c r="A559" t="s">
        <v>2510</v>
      </c>
      <c r="B559" t="s">
        <v>2511</v>
      </c>
      <c r="C559" t="s">
        <v>71</v>
      </c>
      <c r="D559" t="s">
        <v>289</v>
      </c>
      <c r="E559" t="s">
        <v>73</v>
      </c>
      <c r="F559" t="s">
        <v>74</v>
      </c>
      <c r="G559">
        <v>241667</v>
      </c>
      <c r="H559" t="s">
        <v>74</v>
      </c>
      <c r="I559" t="s">
        <v>75</v>
      </c>
      <c r="J559" t="s">
        <v>74</v>
      </c>
      <c r="K559" t="s">
        <v>2512</v>
      </c>
      <c r="L559" t="s">
        <v>77</v>
      </c>
      <c r="M559" t="s">
        <v>78</v>
      </c>
      <c r="N559" t="s">
        <v>637</v>
      </c>
      <c r="O559" t="s">
        <v>638</v>
      </c>
      <c r="P559" t="s">
        <v>214</v>
      </c>
      <c r="X559">
        <v>22</v>
      </c>
      <c r="AF559" t="s">
        <v>445</v>
      </c>
      <c r="AG559" t="s">
        <v>296</v>
      </c>
      <c r="AH559" t="s">
        <v>445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3.3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1016.18</v>
      </c>
      <c r="BE559">
        <v>0</v>
      </c>
      <c r="BF559">
        <v>880</v>
      </c>
      <c r="BG559">
        <v>0</v>
      </c>
      <c r="BH559">
        <v>0</v>
      </c>
      <c r="BI559">
        <v>176</v>
      </c>
      <c r="BJ559">
        <v>0</v>
      </c>
      <c r="BK559">
        <v>0</v>
      </c>
      <c r="BL559">
        <v>0</v>
      </c>
      <c r="BM559">
        <v>0</v>
      </c>
      <c r="BN559">
        <v>2075.48</v>
      </c>
      <c r="BO559">
        <v>332.08</v>
      </c>
      <c r="BP559">
        <v>83.02</v>
      </c>
      <c r="BQ559">
        <f t="shared" si="8"/>
        <v>2324.54</v>
      </c>
      <c r="BR559" t="s">
        <v>639</v>
      </c>
    </row>
    <row r="560" spans="1:70">
      <c r="A560" t="s">
        <v>2513</v>
      </c>
      <c r="B560" t="s">
        <v>2514</v>
      </c>
      <c r="C560" t="s">
        <v>71</v>
      </c>
      <c r="D560" t="s">
        <v>289</v>
      </c>
      <c r="E560" t="s">
        <v>73</v>
      </c>
      <c r="F560" t="s">
        <v>74</v>
      </c>
      <c r="G560">
        <v>241674</v>
      </c>
      <c r="H560" t="s">
        <v>74</v>
      </c>
      <c r="I560" t="s">
        <v>75</v>
      </c>
      <c r="J560" t="s">
        <v>74</v>
      </c>
      <c r="K560" t="s">
        <v>2515</v>
      </c>
      <c r="L560" t="s">
        <v>77</v>
      </c>
      <c r="M560" t="s">
        <v>78</v>
      </c>
      <c r="N560" t="s">
        <v>553</v>
      </c>
      <c r="O560" t="s">
        <v>554</v>
      </c>
      <c r="P560" t="s">
        <v>214</v>
      </c>
      <c r="X560">
        <v>19</v>
      </c>
      <c r="AF560" t="s">
        <v>569</v>
      </c>
      <c r="AG560" t="s">
        <v>296</v>
      </c>
      <c r="AH560" t="s">
        <v>569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2.85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293.55</v>
      </c>
      <c r="BE560">
        <v>0</v>
      </c>
      <c r="BF560">
        <v>760</v>
      </c>
      <c r="BG560">
        <v>0</v>
      </c>
      <c r="BH560">
        <v>0</v>
      </c>
      <c r="BI560">
        <v>152</v>
      </c>
      <c r="BJ560">
        <v>0</v>
      </c>
      <c r="BK560">
        <v>0</v>
      </c>
      <c r="BL560">
        <v>0</v>
      </c>
      <c r="BM560">
        <v>0</v>
      </c>
      <c r="BN560">
        <v>1208.4000000000001</v>
      </c>
      <c r="BO560">
        <v>193.35</v>
      </c>
      <c r="BP560">
        <v>48.33</v>
      </c>
      <c r="BQ560">
        <f t="shared" si="8"/>
        <v>1353.42</v>
      </c>
      <c r="BR560" t="s">
        <v>83</v>
      </c>
    </row>
    <row r="561" spans="1:70">
      <c r="A561" t="s">
        <v>2516</v>
      </c>
      <c r="B561" t="s">
        <v>2517</v>
      </c>
      <c r="C561" t="s">
        <v>71</v>
      </c>
      <c r="D561" t="s">
        <v>289</v>
      </c>
      <c r="E561" t="s">
        <v>73</v>
      </c>
      <c r="F561" t="s">
        <v>74</v>
      </c>
      <c r="G561">
        <v>241690</v>
      </c>
      <c r="H561" t="s">
        <v>74</v>
      </c>
      <c r="I561" t="s">
        <v>75</v>
      </c>
      <c r="J561" t="s">
        <v>74</v>
      </c>
      <c r="K561" t="s">
        <v>2518</v>
      </c>
      <c r="L561" t="s">
        <v>77</v>
      </c>
      <c r="M561" t="s">
        <v>78</v>
      </c>
      <c r="N561" t="s">
        <v>558</v>
      </c>
      <c r="O561" t="s">
        <v>1005</v>
      </c>
      <c r="P561" t="s">
        <v>214</v>
      </c>
      <c r="X561">
        <v>10</v>
      </c>
      <c r="AF561" t="s">
        <v>372</v>
      </c>
      <c r="AG561" t="s">
        <v>296</v>
      </c>
      <c r="AH561" t="s">
        <v>372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1.5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461.9</v>
      </c>
      <c r="BE561">
        <v>0</v>
      </c>
      <c r="BF561">
        <v>400</v>
      </c>
      <c r="BG561">
        <v>0</v>
      </c>
      <c r="BH561">
        <v>0</v>
      </c>
      <c r="BI561">
        <v>80</v>
      </c>
      <c r="BJ561">
        <v>0</v>
      </c>
      <c r="BK561">
        <v>0</v>
      </c>
      <c r="BL561">
        <v>0</v>
      </c>
      <c r="BM561">
        <v>0</v>
      </c>
      <c r="BN561">
        <v>943.4</v>
      </c>
      <c r="BO561">
        <v>150.94</v>
      </c>
      <c r="BP561">
        <v>37.74</v>
      </c>
      <c r="BQ561">
        <f t="shared" si="8"/>
        <v>1056.5999999999999</v>
      </c>
      <c r="BR561" t="s">
        <v>560</v>
      </c>
    </row>
    <row r="562" spans="1:70">
      <c r="A562" t="s">
        <v>2519</v>
      </c>
      <c r="B562" t="s">
        <v>2520</v>
      </c>
      <c r="C562" t="s">
        <v>71</v>
      </c>
      <c r="D562" t="s">
        <v>289</v>
      </c>
      <c r="E562" t="s">
        <v>73</v>
      </c>
      <c r="F562" t="s">
        <v>74</v>
      </c>
      <c r="G562" t="s">
        <v>74</v>
      </c>
      <c r="H562" t="s">
        <v>74</v>
      </c>
      <c r="I562" t="s">
        <v>75</v>
      </c>
      <c r="J562" t="s">
        <v>74</v>
      </c>
      <c r="K562" t="s">
        <v>2521</v>
      </c>
      <c r="L562" t="s">
        <v>77</v>
      </c>
      <c r="M562" t="s">
        <v>78</v>
      </c>
      <c r="N562" t="s">
        <v>172</v>
      </c>
      <c r="O562" t="s">
        <v>1128</v>
      </c>
      <c r="P562" t="s">
        <v>214</v>
      </c>
      <c r="X562">
        <v>12</v>
      </c>
      <c r="AF562" t="s">
        <v>379</v>
      </c>
      <c r="AG562" t="s">
        <v>296</v>
      </c>
      <c r="AH562" t="s">
        <v>379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1.8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554.28</v>
      </c>
      <c r="BE562">
        <v>0</v>
      </c>
      <c r="BF562">
        <v>480</v>
      </c>
      <c r="BG562">
        <v>0</v>
      </c>
      <c r="BH562">
        <v>0</v>
      </c>
      <c r="BI562">
        <v>96</v>
      </c>
      <c r="BJ562">
        <v>0</v>
      </c>
      <c r="BK562">
        <v>0</v>
      </c>
      <c r="BL562">
        <v>0</v>
      </c>
      <c r="BM562">
        <v>0</v>
      </c>
      <c r="BN562">
        <v>1132.08</v>
      </c>
      <c r="BO562">
        <v>181.13</v>
      </c>
      <c r="BP562">
        <v>45.28</v>
      </c>
      <c r="BQ562">
        <f t="shared" si="8"/>
        <v>1267.93</v>
      </c>
      <c r="BR562" t="s">
        <v>175</v>
      </c>
    </row>
    <row r="563" spans="1:70">
      <c r="A563" t="s">
        <v>2522</v>
      </c>
      <c r="B563" t="s">
        <v>2523</v>
      </c>
      <c r="C563" t="s">
        <v>71</v>
      </c>
      <c r="D563" t="s">
        <v>289</v>
      </c>
      <c r="E563" t="s">
        <v>73</v>
      </c>
      <c r="F563" t="s">
        <v>74</v>
      </c>
      <c r="G563">
        <v>241711</v>
      </c>
      <c r="H563" t="s">
        <v>74</v>
      </c>
      <c r="I563" t="s">
        <v>75</v>
      </c>
      <c r="J563" t="s">
        <v>74</v>
      </c>
      <c r="K563" t="s">
        <v>2524</v>
      </c>
      <c r="L563" t="s">
        <v>77</v>
      </c>
      <c r="M563" t="s">
        <v>78</v>
      </c>
      <c r="N563" t="s">
        <v>191</v>
      </c>
      <c r="O563" t="s">
        <v>2525</v>
      </c>
      <c r="P563" t="s">
        <v>214</v>
      </c>
      <c r="X563">
        <v>5</v>
      </c>
      <c r="AF563" t="s">
        <v>333</v>
      </c>
      <c r="AG563" t="s">
        <v>296</v>
      </c>
      <c r="AH563" t="s">
        <v>333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0.75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</v>
      </c>
      <c r="BB563">
        <v>0</v>
      </c>
      <c r="BC563">
        <v>0</v>
      </c>
      <c r="BD563">
        <v>230.95</v>
      </c>
      <c r="BE563">
        <v>0</v>
      </c>
      <c r="BF563">
        <v>200</v>
      </c>
      <c r="BG563">
        <v>0</v>
      </c>
      <c r="BH563">
        <v>0</v>
      </c>
      <c r="BI563">
        <v>40</v>
      </c>
      <c r="BJ563">
        <v>0</v>
      </c>
      <c r="BK563">
        <v>0</v>
      </c>
      <c r="BL563">
        <v>0</v>
      </c>
      <c r="BM563">
        <v>0</v>
      </c>
      <c r="BN563">
        <v>471.7</v>
      </c>
      <c r="BO563">
        <v>75.47</v>
      </c>
      <c r="BP563">
        <v>18.87</v>
      </c>
      <c r="BQ563">
        <f t="shared" si="8"/>
        <v>528.29999999999995</v>
      </c>
      <c r="BR563" t="s">
        <v>195</v>
      </c>
    </row>
    <row r="564" spans="1:70">
      <c r="A564" t="s">
        <v>2526</v>
      </c>
      <c r="B564" t="s">
        <v>2527</v>
      </c>
      <c r="C564" t="s">
        <v>71</v>
      </c>
      <c r="D564" t="s">
        <v>289</v>
      </c>
      <c r="E564" t="s">
        <v>73</v>
      </c>
      <c r="F564" t="s">
        <v>74</v>
      </c>
      <c r="G564">
        <v>241712</v>
      </c>
      <c r="H564" t="s">
        <v>74</v>
      </c>
      <c r="I564" t="s">
        <v>75</v>
      </c>
      <c r="J564" t="s">
        <v>74</v>
      </c>
      <c r="K564" t="s">
        <v>2528</v>
      </c>
      <c r="L564" t="s">
        <v>77</v>
      </c>
      <c r="M564" t="s">
        <v>78</v>
      </c>
      <c r="N564" t="s">
        <v>191</v>
      </c>
      <c r="O564" t="s">
        <v>2525</v>
      </c>
      <c r="P564" t="s">
        <v>214</v>
      </c>
      <c r="X564">
        <v>26</v>
      </c>
      <c r="AF564" t="s">
        <v>920</v>
      </c>
      <c r="AG564" t="s">
        <v>296</v>
      </c>
      <c r="AH564" t="s">
        <v>920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3.9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1200.94</v>
      </c>
      <c r="BE564">
        <v>0</v>
      </c>
      <c r="BF564">
        <v>1040</v>
      </c>
      <c r="BG564">
        <v>0</v>
      </c>
      <c r="BH564">
        <v>0</v>
      </c>
      <c r="BI564">
        <v>208</v>
      </c>
      <c r="BJ564">
        <v>0</v>
      </c>
      <c r="BK564">
        <v>0</v>
      </c>
      <c r="BL564">
        <v>0</v>
      </c>
      <c r="BM564">
        <v>0</v>
      </c>
      <c r="BN564">
        <v>2452.84</v>
      </c>
      <c r="BO564">
        <v>392.45</v>
      </c>
      <c r="BP564">
        <v>98.12</v>
      </c>
      <c r="BQ564">
        <f t="shared" si="8"/>
        <v>2747.17</v>
      </c>
      <c r="BR564" t="s">
        <v>195</v>
      </c>
    </row>
    <row r="565" spans="1:70">
      <c r="A565" t="s">
        <v>2529</v>
      </c>
      <c r="B565" t="s">
        <v>2530</v>
      </c>
      <c r="C565" t="s">
        <v>71</v>
      </c>
      <c r="D565" t="s">
        <v>289</v>
      </c>
      <c r="E565" t="s">
        <v>73</v>
      </c>
      <c r="F565" t="s">
        <v>74</v>
      </c>
      <c r="G565">
        <v>241714</v>
      </c>
      <c r="H565" t="s">
        <v>74</v>
      </c>
      <c r="I565" t="s">
        <v>75</v>
      </c>
      <c r="J565" t="s">
        <v>74</v>
      </c>
      <c r="K565" t="s">
        <v>2531</v>
      </c>
      <c r="L565" t="s">
        <v>77</v>
      </c>
      <c r="M565" t="s">
        <v>78</v>
      </c>
      <c r="N565" t="s">
        <v>649</v>
      </c>
      <c r="O565" t="s">
        <v>2532</v>
      </c>
      <c r="P565" t="s">
        <v>214</v>
      </c>
      <c r="X565">
        <v>14</v>
      </c>
      <c r="AF565" t="s">
        <v>413</v>
      </c>
      <c r="AG565" t="s">
        <v>296</v>
      </c>
      <c r="AH565" t="s">
        <v>413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2.1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216.3</v>
      </c>
      <c r="BE565">
        <v>0</v>
      </c>
      <c r="BF565">
        <v>560</v>
      </c>
      <c r="BG565">
        <v>0</v>
      </c>
      <c r="BH565">
        <v>0</v>
      </c>
      <c r="BI565">
        <v>112</v>
      </c>
      <c r="BJ565">
        <v>0</v>
      </c>
      <c r="BK565">
        <v>0</v>
      </c>
      <c r="BL565">
        <v>0</v>
      </c>
      <c r="BM565">
        <v>0</v>
      </c>
      <c r="BN565">
        <v>890.4</v>
      </c>
      <c r="BO565">
        <v>142.47</v>
      </c>
      <c r="BP565">
        <v>35.61</v>
      </c>
      <c r="BQ565">
        <f t="shared" si="8"/>
        <v>997.25999999999988</v>
      </c>
      <c r="BR565" t="s">
        <v>649</v>
      </c>
    </row>
    <row r="566" spans="1:70">
      <c r="A566" t="s">
        <v>2533</v>
      </c>
      <c r="B566" t="s">
        <v>2534</v>
      </c>
      <c r="C566" t="s">
        <v>71</v>
      </c>
      <c r="D566" t="s">
        <v>289</v>
      </c>
      <c r="E566" t="s">
        <v>73</v>
      </c>
      <c r="F566" t="s">
        <v>74</v>
      </c>
      <c r="G566">
        <v>241708</v>
      </c>
      <c r="H566" t="s">
        <v>74</v>
      </c>
      <c r="I566" t="s">
        <v>75</v>
      </c>
      <c r="J566" t="s">
        <v>74</v>
      </c>
      <c r="K566" t="s">
        <v>2535</v>
      </c>
      <c r="L566" t="s">
        <v>77</v>
      </c>
      <c r="M566" t="s">
        <v>78</v>
      </c>
      <c r="N566" t="s">
        <v>343</v>
      </c>
      <c r="O566" t="s">
        <v>2330</v>
      </c>
      <c r="P566" t="s">
        <v>214</v>
      </c>
      <c r="Z566">
        <v>2</v>
      </c>
      <c r="AF566" t="s">
        <v>339</v>
      </c>
      <c r="AG566" t="s">
        <v>296</v>
      </c>
      <c r="AH566" t="s">
        <v>339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0.3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327.7</v>
      </c>
      <c r="BE566">
        <v>0</v>
      </c>
      <c r="BF566">
        <v>80</v>
      </c>
      <c r="BG566">
        <v>0</v>
      </c>
      <c r="BH566">
        <v>0</v>
      </c>
      <c r="BI566">
        <v>16</v>
      </c>
      <c r="BJ566">
        <v>0</v>
      </c>
      <c r="BK566">
        <v>0</v>
      </c>
      <c r="BL566">
        <v>0</v>
      </c>
      <c r="BM566">
        <v>0</v>
      </c>
      <c r="BN566">
        <v>424</v>
      </c>
      <c r="BO566">
        <v>67.84</v>
      </c>
      <c r="BP566">
        <v>16.96</v>
      </c>
      <c r="BQ566">
        <f t="shared" si="8"/>
        <v>474.88000000000005</v>
      </c>
      <c r="BR566" t="s">
        <v>343</v>
      </c>
    </row>
    <row r="567" spans="1:70">
      <c r="A567" t="s">
        <v>2536</v>
      </c>
      <c r="B567" t="s">
        <v>2537</v>
      </c>
      <c r="C567" t="s">
        <v>71</v>
      </c>
      <c r="D567" t="s">
        <v>289</v>
      </c>
      <c r="E567" t="s">
        <v>73</v>
      </c>
      <c r="F567" t="s">
        <v>74</v>
      </c>
      <c r="G567">
        <v>241707</v>
      </c>
      <c r="H567" t="s">
        <v>74</v>
      </c>
      <c r="I567" t="s">
        <v>75</v>
      </c>
      <c r="J567" t="s">
        <v>74</v>
      </c>
      <c r="K567" t="s">
        <v>2538</v>
      </c>
      <c r="L567" t="s">
        <v>77</v>
      </c>
      <c r="M567" t="s">
        <v>78</v>
      </c>
      <c r="N567" t="s">
        <v>748</v>
      </c>
      <c r="O567" t="s">
        <v>2539</v>
      </c>
      <c r="P567" t="s">
        <v>214</v>
      </c>
      <c r="X567">
        <v>6</v>
      </c>
      <c r="AF567" t="s">
        <v>400</v>
      </c>
      <c r="AG567" t="s">
        <v>296</v>
      </c>
      <c r="AH567" t="s">
        <v>400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0.9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92.7</v>
      </c>
      <c r="BE567">
        <v>0</v>
      </c>
      <c r="BF567">
        <v>240</v>
      </c>
      <c r="BG567">
        <v>0</v>
      </c>
      <c r="BH567">
        <v>0</v>
      </c>
      <c r="BI567">
        <v>48</v>
      </c>
      <c r="BJ567">
        <v>0</v>
      </c>
      <c r="BK567">
        <v>0</v>
      </c>
      <c r="BL567">
        <v>0</v>
      </c>
      <c r="BM567">
        <v>0</v>
      </c>
      <c r="BN567">
        <v>381.6</v>
      </c>
      <c r="BO567">
        <v>61.05</v>
      </c>
      <c r="BP567">
        <v>15.27</v>
      </c>
      <c r="BQ567">
        <f t="shared" si="8"/>
        <v>427.38000000000005</v>
      </c>
      <c r="BR567" t="s">
        <v>748</v>
      </c>
    </row>
    <row r="568" spans="1:70">
      <c r="A568" t="s">
        <v>2540</v>
      </c>
      <c r="B568" t="s">
        <v>2541</v>
      </c>
      <c r="C568" t="s">
        <v>71</v>
      </c>
      <c r="D568" t="s">
        <v>289</v>
      </c>
      <c r="E568" t="s">
        <v>73</v>
      </c>
      <c r="F568" t="s">
        <v>74</v>
      </c>
      <c r="G568">
        <v>241704</v>
      </c>
      <c r="H568" t="s">
        <v>74</v>
      </c>
      <c r="I568" t="s">
        <v>75</v>
      </c>
      <c r="J568" t="s">
        <v>74</v>
      </c>
      <c r="K568" t="s">
        <v>2542</v>
      </c>
      <c r="L568" t="s">
        <v>77</v>
      </c>
      <c r="M568" t="s">
        <v>78</v>
      </c>
      <c r="N568" t="s">
        <v>337</v>
      </c>
      <c r="O568" t="s">
        <v>2543</v>
      </c>
      <c r="P568" t="s">
        <v>214</v>
      </c>
      <c r="X568">
        <v>14</v>
      </c>
      <c r="AF568" t="s">
        <v>413</v>
      </c>
      <c r="AG568" t="s">
        <v>296</v>
      </c>
      <c r="AH568" t="s">
        <v>413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2.1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0</v>
      </c>
      <c r="BB568">
        <v>0</v>
      </c>
      <c r="BC568">
        <v>0</v>
      </c>
      <c r="BD568">
        <v>646.66</v>
      </c>
      <c r="BE568">
        <v>0</v>
      </c>
      <c r="BF568">
        <v>560</v>
      </c>
      <c r="BG568">
        <v>0</v>
      </c>
      <c r="BH568">
        <v>0</v>
      </c>
      <c r="BI568">
        <v>112</v>
      </c>
      <c r="BJ568">
        <v>0</v>
      </c>
      <c r="BK568">
        <v>0</v>
      </c>
      <c r="BL568">
        <v>0</v>
      </c>
      <c r="BM568">
        <v>0</v>
      </c>
      <c r="BN568">
        <v>1320.76</v>
      </c>
      <c r="BO568">
        <v>211.33</v>
      </c>
      <c r="BP568">
        <v>52.83</v>
      </c>
      <c r="BQ568">
        <f t="shared" si="8"/>
        <v>1479.26</v>
      </c>
      <c r="BR568" t="s">
        <v>337</v>
      </c>
    </row>
    <row r="569" spans="1:70">
      <c r="A569" t="s">
        <v>2544</v>
      </c>
      <c r="B569" t="s">
        <v>2545</v>
      </c>
      <c r="C569" t="s">
        <v>71</v>
      </c>
      <c r="D569" t="s">
        <v>289</v>
      </c>
      <c r="E569" t="s">
        <v>73</v>
      </c>
      <c r="F569" t="s">
        <v>74</v>
      </c>
      <c r="G569">
        <v>241698</v>
      </c>
      <c r="H569" t="s">
        <v>74</v>
      </c>
      <c r="I569" t="s">
        <v>75</v>
      </c>
      <c r="J569" t="s">
        <v>74</v>
      </c>
      <c r="K569" t="s">
        <v>2546</v>
      </c>
      <c r="L569" t="s">
        <v>77</v>
      </c>
      <c r="M569" t="s">
        <v>78</v>
      </c>
      <c r="N569" t="s">
        <v>637</v>
      </c>
      <c r="O569" t="s">
        <v>1373</v>
      </c>
      <c r="P569" t="s">
        <v>214</v>
      </c>
      <c r="X569">
        <v>11</v>
      </c>
      <c r="AF569" t="s">
        <v>470</v>
      </c>
      <c r="AG569" t="s">
        <v>296</v>
      </c>
      <c r="AH569" t="s">
        <v>470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1.65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508.09</v>
      </c>
      <c r="BE569">
        <v>0</v>
      </c>
      <c r="BF569">
        <v>440</v>
      </c>
      <c r="BG569">
        <v>0</v>
      </c>
      <c r="BH569">
        <v>0</v>
      </c>
      <c r="BI569">
        <v>88</v>
      </c>
      <c r="BJ569">
        <v>0</v>
      </c>
      <c r="BK569">
        <v>0</v>
      </c>
      <c r="BL569">
        <v>0</v>
      </c>
      <c r="BM569">
        <v>0</v>
      </c>
      <c r="BN569">
        <v>1037.74</v>
      </c>
      <c r="BO569">
        <v>166.03</v>
      </c>
      <c r="BP569">
        <v>41.51</v>
      </c>
      <c r="BQ569">
        <f t="shared" si="8"/>
        <v>1162.26</v>
      </c>
      <c r="BR569" t="s">
        <v>639</v>
      </c>
    </row>
    <row r="570" spans="1:70">
      <c r="A570" t="s">
        <v>2547</v>
      </c>
      <c r="B570" t="s">
        <v>2548</v>
      </c>
      <c r="C570" t="s">
        <v>71</v>
      </c>
      <c r="D570" t="s">
        <v>289</v>
      </c>
      <c r="E570" t="s">
        <v>73</v>
      </c>
      <c r="F570" t="s">
        <v>74</v>
      </c>
      <c r="G570">
        <v>219513</v>
      </c>
      <c r="H570" t="s">
        <v>74</v>
      </c>
      <c r="I570" t="s">
        <v>75</v>
      </c>
      <c r="J570" t="s">
        <v>74</v>
      </c>
      <c r="K570" t="s">
        <v>2549</v>
      </c>
      <c r="L570" t="s">
        <v>77</v>
      </c>
      <c r="M570" t="s">
        <v>78</v>
      </c>
      <c r="N570" t="s">
        <v>524</v>
      </c>
      <c r="O570" t="s">
        <v>827</v>
      </c>
      <c r="P570" t="s">
        <v>214</v>
      </c>
      <c r="T570">
        <v>2</v>
      </c>
      <c r="AF570" t="s">
        <v>808</v>
      </c>
      <c r="AG570" t="s">
        <v>296</v>
      </c>
      <c r="AH570" t="s">
        <v>808</v>
      </c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72.92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2142.2600000000002</v>
      </c>
      <c r="BE570">
        <v>0</v>
      </c>
      <c r="BF570">
        <v>916.16</v>
      </c>
      <c r="BG570">
        <v>0</v>
      </c>
      <c r="BH570">
        <v>0</v>
      </c>
      <c r="BI570">
        <v>843.24</v>
      </c>
      <c r="BJ570">
        <v>0</v>
      </c>
      <c r="BK570">
        <v>0</v>
      </c>
      <c r="BL570">
        <v>0</v>
      </c>
      <c r="BM570">
        <v>0</v>
      </c>
      <c r="BN570">
        <v>3974.58</v>
      </c>
      <c r="BO570">
        <v>635.94000000000005</v>
      </c>
      <c r="BP570">
        <v>158.99</v>
      </c>
      <c r="BQ570">
        <f t="shared" si="8"/>
        <v>4451.5300000000007</v>
      </c>
      <c r="BR570" t="s">
        <v>524</v>
      </c>
    </row>
    <row r="571" spans="1:70">
      <c r="A571" t="s">
        <v>2550</v>
      </c>
      <c r="B571" t="s">
        <v>2551</v>
      </c>
      <c r="C571" t="s">
        <v>71</v>
      </c>
      <c r="D571" t="s">
        <v>289</v>
      </c>
      <c r="E571" t="s">
        <v>73</v>
      </c>
      <c r="F571" t="s">
        <v>74</v>
      </c>
      <c r="G571">
        <v>241713</v>
      </c>
      <c r="H571" t="s">
        <v>74</v>
      </c>
      <c r="I571" t="s">
        <v>75</v>
      </c>
      <c r="J571" t="s">
        <v>74</v>
      </c>
      <c r="K571" t="s">
        <v>2552</v>
      </c>
      <c r="L571" t="s">
        <v>77</v>
      </c>
      <c r="M571" t="s">
        <v>78</v>
      </c>
      <c r="N571" t="s">
        <v>324</v>
      </c>
      <c r="O571" t="s">
        <v>744</v>
      </c>
      <c r="P571" t="s">
        <v>214</v>
      </c>
      <c r="X571">
        <v>13</v>
      </c>
      <c r="AF571" t="s">
        <v>434</v>
      </c>
      <c r="AG571" t="s">
        <v>296</v>
      </c>
      <c r="AH571" t="s">
        <v>434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1.95</v>
      </c>
      <c r="AT571">
        <v>0</v>
      </c>
      <c r="AU571">
        <v>0</v>
      </c>
      <c r="AV571">
        <v>341.77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600.47</v>
      </c>
      <c r="BE571">
        <v>0</v>
      </c>
      <c r="BF571">
        <v>520</v>
      </c>
      <c r="BG571">
        <v>0</v>
      </c>
      <c r="BH571">
        <v>0</v>
      </c>
      <c r="BI571">
        <v>104</v>
      </c>
      <c r="BJ571">
        <v>0</v>
      </c>
      <c r="BK571">
        <v>0</v>
      </c>
      <c r="BL571">
        <v>0</v>
      </c>
      <c r="BM571">
        <v>0</v>
      </c>
      <c r="BN571">
        <v>1568.19</v>
      </c>
      <c r="BO571">
        <v>250.91</v>
      </c>
      <c r="BP571">
        <v>49.06</v>
      </c>
      <c r="BQ571">
        <f t="shared" si="8"/>
        <v>1770.0400000000002</v>
      </c>
      <c r="BR571" t="s">
        <v>324</v>
      </c>
    </row>
    <row r="572" spans="1:70">
      <c r="A572" t="s">
        <v>2553</v>
      </c>
      <c r="B572" t="s">
        <v>2554</v>
      </c>
      <c r="C572" t="s">
        <v>71</v>
      </c>
      <c r="D572" t="s">
        <v>289</v>
      </c>
      <c r="E572" t="s">
        <v>73</v>
      </c>
      <c r="F572" t="s">
        <v>74</v>
      </c>
      <c r="G572">
        <v>241663</v>
      </c>
      <c r="H572" t="s">
        <v>74</v>
      </c>
      <c r="I572" t="s">
        <v>75</v>
      </c>
      <c r="J572" t="s">
        <v>74</v>
      </c>
      <c r="K572" t="s">
        <v>2555</v>
      </c>
      <c r="L572" t="s">
        <v>77</v>
      </c>
      <c r="M572" t="s">
        <v>78</v>
      </c>
      <c r="N572" t="s">
        <v>524</v>
      </c>
      <c r="O572" t="s">
        <v>525</v>
      </c>
      <c r="P572" t="s">
        <v>214</v>
      </c>
      <c r="X572">
        <v>18</v>
      </c>
      <c r="AF572" t="s">
        <v>395</v>
      </c>
      <c r="AG572" t="s">
        <v>296</v>
      </c>
      <c r="AH572" t="s">
        <v>395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2.7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0</v>
      </c>
      <c r="BD572">
        <v>278.10000000000002</v>
      </c>
      <c r="BE572">
        <v>0</v>
      </c>
      <c r="BF572">
        <v>720</v>
      </c>
      <c r="BG572">
        <v>0</v>
      </c>
      <c r="BH572">
        <v>0</v>
      </c>
      <c r="BI572">
        <v>144</v>
      </c>
      <c r="BJ572">
        <v>0</v>
      </c>
      <c r="BK572">
        <v>0</v>
      </c>
      <c r="BL572">
        <v>0</v>
      </c>
      <c r="BM572">
        <v>0</v>
      </c>
      <c r="BN572">
        <v>1144.8</v>
      </c>
      <c r="BO572">
        <v>183.17</v>
      </c>
      <c r="BP572">
        <v>45.79</v>
      </c>
      <c r="BQ572">
        <f t="shared" si="8"/>
        <v>1282.18</v>
      </c>
      <c r="BR572" t="s">
        <v>524</v>
      </c>
    </row>
    <row r="573" spans="1:70">
      <c r="A573" t="s">
        <v>2556</v>
      </c>
      <c r="B573" t="s">
        <v>2557</v>
      </c>
      <c r="C573" t="s">
        <v>71</v>
      </c>
      <c r="D573" t="s">
        <v>289</v>
      </c>
      <c r="E573" t="s">
        <v>73</v>
      </c>
      <c r="F573" t="s">
        <v>74</v>
      </c>
      <c r="G573">
        <v>241736</v>
      </c>
      <c r="H573" t="s">
        <v>74</v>
      </c>
      <c r="I573" t="s">
        <v>75</v>
      </c>
      <c r="J573" t="s">
        <v>74</v>
      </c>
      <c r="K573" t="s">
        <v>2558</v>
      </c>
      <c r="L573" t="s">
        <v>77</v>
      </c>
      <c r="M573" t="s">
        <v>78</v>
      </c>
      <c r="N573" t="s">
        <v>365</v>
      </c>
      <c r="O573" t="s">
        <v>1369</v>
      </c>
      <c r="P573" t="s">
        <v>214</v>
      </c>
      <c r="X573">
        <v>31</v>
      </c>
      <c r="AF573" t="s">
        <v>1059</v>
      </c>
      <c r="AG573" t="s">
        <v>296</v>
      </c>
      <c r="AH573" t="s">
        <v>1059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4.6500000000000004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478.95</v>
      </c>
      <c r="BE573">
        <v>0</v>
      </c>
      <c r="BF573">
        <v>1240</v>
      </c>
      <c r="BG573">
        <v>0</v>
      </c>
      <c r="BH573">
        <v>0</v>
      </c>
      <c r="BI573">
        <v>248</v>
      </c>
      <c r="BJ573">
        <v>0</v>
      </c>
      <c r="BK573">
        <v>0</v>
      </c>
      <c r="BL573">
        <v>0</v>
      </c>
      <c r="BM573">
        <v>0</v>
      </c>
      <c r="BN573">
        <v>1971.6</v>
      </c>
      <c r="BO573">
        <v>315.45</v>
      </c>
      <c r="BP573">
        <v>78.87</v>
      </c>
      <c r="BQ573">
        <f t="shared" si="8"/>
        <v>2208.1799999999998</v>
      </c>
      <c r="BR573" t="s">
        <v>365</v>
      </c>
    </row>
    <row r="574" spans="1:70">
      <c r="A574" t="s">
        <v>2559</v>
      </c>
      <c r="B574" t="s">
        <v>2560</v>
      </c>
      <c r="C574" t="s">
        <v>71</v>
      </c>
      <c r="D574" t="s">
        <v>289</v>
      </c>
      <c r="E574" t="s">
        <v>73</v>
      </c>
      <c r="F574" t="s">
        <v>74</v>
      </c>
      <c r="G574">
        <v>241737</v>
      </c>
      <c r="H574" t="s">
        <v>74</v>
      </c>
      <c r="I574" t="s">
        <v>75</v>
      </c>
      <c r="J574" t="s">
        <v>74</v>
      </c>
      <c r="K574" t="s">
        <v>2561</v>
      </c>
      <c r="L574" t="s">
        <v>77</v>
      </c>
      <c r="M574" t="s">
        <v>78</v>
      </c>
      <c r="N574" t="s">
        <v>229</v>
      </c>
      <c r="O574" t="s">
        <v>354</v>
      </c>
      <c r="P574" t="s">
        <v>214</v>
      </c>
      <c r="X574">
        <v>5</v>
      </c>
      <c r="AF574" t="s">
        <v>333</v>
      </c>
      <c r="AG574" t="s">
        <v>296</v>
      </c>
      <c r="AH574" t="s">
        <v>333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0.75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230.95</v>
      </c>
      <c r="BE574">
        <v>0</v>
      </c>
      <c r="BF574">
        <v>200</v>
      </c>
      <c r="BG574">
        <v>0</v>
      </c>
      <c r="BH574">
        <v>0</v>
      </c>
      <c r="BI574">
        <v>40</v>
      </c>
      <c r="BJ574">
        <v>0</v>
      </c>
      <c r="BK574">
        <v>0</v>
      </c>
      <c r="BL574">
        <v>0</v>
      </c>
      <c r="BM574">
        <v>0</v>
      </c>
      <c r="BN574">
        <v>471.7</v>
      </c>
      <c r="BO574">
        <v>75.47</v>
      </c>
      <c r="BP574">
        <v>18.87</v>
      </c>
      <c r="BQ574">
        <f t="shared" si="8"/>
        <v>528.29999999999995</v>
      </c>
      <c r="BR574" t="s">
        <v>229</v>
      </c>
    </row>
    <row r="575" spans="1:70">
      <c r="A575" t="s">
        <v>2562</v>
      </c>
      <c r="B575" t="s">
        <v>2563</v>
      </c>
      <c r="C575" t="s">
        <v>71</v>
      </c>
      <c r="D575" t="s">
        <v>289</v>
      </c>
      <c r="E575" t="s">
        <v>73</v>
      </c>
      <c r="F575" t="s">
        <v>74</v>
      </c>
      <c r="G575">
        <v>241799</v>
      </c>
      <c r="H575" t="s">
        <v>74</v>
      </c>
      <c r="I575" t="s">
        <v>75</v>
      </c>
      <c r="J575" t="s">
        <v>74</v>
      </c>
      <c r="K575" t="s">
        <v>2564</v>
      </c>
      <c r="L575" t="s">
        <v>77</v>
      </c>
      <c r="M575" t="s">
        <v>78</v>
      </c>
      <c r="N575" t="s">
        <v>748</v>
      </c>
      <c r="O575" t="s">
        <v>1026</v>
      </c>
      <c r="P575" t="s">
        <v>2565</v>
      </c>
      <c r="X575">
        <v>25</v>
      </c>
      <c r="AF575" t="s">
        <v>717</v>
      </c>
      <c r="AG575" t="s">
        <v>296</v>
      </c>
      <c r="AH575" t="s">
        <v>717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3.75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386.25</v>
      </c>
      <c r="BE575">
        <v>0</v>
      </c>
      <c r="BF575">
        <v>1000</v>
      </c>
      <c r="BG575">
        <v>0</v>
      </c>
      <c r="BH575">
        <v>0</v>
      </c>
      <c r="BI575">
        <v>200</v>
      </c>
      <c r="BJ575">
        <v>0</v>
      </c>
      <c r="BK575">
        <v>0</v>
      </c>
      <c r="BL575">
        <v>0</v>
      </c>
      <c r="BM575">
        <v>0</v>
      </c>
      <c r="BN575">
        <v>1590</v>
      </c>
      <c r="BO575">
        <v>254.4</v>
      </c>
      <c r="BP575">
        <v>63.6</v>
      </c>
      <c r="BQ575">
        <f t="shared" si="8"/>
        <v>1780.8000000000002</v>
      </c>
      <c r="BR575" t="s">
        <v>748</v>
      </c>
    </row>
    <row r="576" spans="1:70">
      <c r="A576" t="s">
        <v>2566</v>
      </c>
      <c r="B576" t="s">
        <v>2567</v>
      </c>
      <c r="C576" t="s">
        <v>71</v>
      </c>
      <c r="D576" t="s">
        <v>289</v>
      </c>
      <c r="E576" t="s">
        <v>73</v>
      </c>
      <c r="F576" t="s">
        <v>74</v>
      </c>
      <c r="G576">
        <v>241749</v>
      </c>
      <c r="H576" t="s">
        <v>74</v>
      </c>
      <c r="I576" t="s">
        <v>75</v>
      </c>
      <c r="J576" t="s">
        <v>74</v>
      </c>
      <c r="K576" t="s">
        <v>2568</v>
      </c>
      <c r="L576" t="s">
        <v>77</v>
      </c>
      <c r="M576" t="s">
        <v>78</v>
      </c>
      <c r="N576" t="s">
        <v>161</v>
      </c>
      <c r="O576" t="s">
        <v>2569</v>
      </c>
      <c r="P576" t="s">
        <v>2565</v>
      </c>
      <c r="X576">
        <v>30</v>
      </c>
      <c r="AF576" t="s">
        <v>593</v>
      </c>
      <c r="AG576" t="s">
        <v>296</v>
      </c>
      <c r="AH576" t="s">
        <v>593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4.5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463.5</v>
      </c>
      <c r="BE576">
        <v>0</v>
      </c>
      <c r="BF576">
        <v>1200</v>
      </c>
      <c r="BG576">
        <v>0</v>
      </c>
      <c r="BH576">
        <v>0</v>
      </c>
      <c r="BI576">
        <v>240</v>
      </c>
      <c r="BJ576">
        <v>0</v>
      </c>
      <c r="BK576">
        <v>0</v>
      </c>
      <c r="BL576">
        <v>0</v>
      </c>
      <c r="BM576">
        <v>0</v>
      </c>
      <c r="BN576">
        <v>1908</v>
      </c>
      <c r="BO576">
        <v>305.27999999999997</v>
      </c>
      <c r="BP576">
        <v>76.319999999999993</v>
      </c>
      <c r="BQ576">
        <f t="shared" si="8"/>
        <v>2136.9599999999996</v>
      </c>
      <c r="BR576" t="s">
        <v>83</v>
      </c>
    </row>
    <row r="577" spans="1:70">
      <c r="A577" t="s">
        <v>2570</v>
      </c>
      <c r="B577" t="s">
        <v>2571</v>
      </c>
      <c r="C577" t="s">
        <v>71</v>
      </c>
      <c r="D577" t="s">
        <v>289</v>
      </c>
      <c r="E577" t="s">
        <v>73</v>
      </c>
      <c r="F577" t="s">
        <v>74</v>
      </c>
      <c r="G577">
        <v>241743</v>
      </c>
      <c r="H577" t="s">
        <v>74</v>
      </c>
      <c r="I577" t="s">
        <v>75</v>
      </c>
      <c r="J577" t="s">
        <v>74</v>
      </c>
      <c r="K577" t="s">
        <v>2572</v>
      </c>
      <c r="L577" t="s">
        <v>77</v>
      </c>
      <c r="M577" t="s">
        <v>78</v>
      </c>
      <c r="N577" t="s">
        <v>748</v>
      </c>
      <c r="O577" t="s">
        <v>2573</v>
      </c>
      <c r="P577" t="s">
        <v>2565</v>
      </c>
      <c r="T577">
        <v>3</v>
      </c>
      <c r="AF577" t="s">
        <v>1513</v>
      </c>
      <c r="AG577" t="s">
        <v>296</v>
      </c>
      <c r="AH577" t="s">
        <v>1513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109.38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3213.39</v>
      </c>
      <c r="BE577">
        <v>0</v>
      </c>
      <c r="BF577">
        <v>1374.24</v>
      </c>
      <c r="BG577">
        <v>0</v>
      </c>
      <c r="BH577">
        <v>0</v>
      </c>
      <c r="BI577">
        <v>1264.8599999999999</v>
      </c>
      <c r="BJ577">
        <v>0</v>
      </c>
      <c r="BK577">
        <v>0</v>
      </c>
      <c r="BL577">
        <v>0</v>
      </c>
      <c r="BM577">
        <v>0</v>
      </c>
      <c r="BN577">
        <v>5961.87</v>
      </c>
      <c r="BO577">
        <v>953.9</v>
      </c>
      <c r="BP577">
        <v>238.48</v>
      </c>
      <c r="BQ577">
        <f t="shared" si="8"/>
        <v>6677.29</v>
      </c>
      <c r="BR577" t="s">
        <v>748</v>
      </c>
    </row>
    <row r="578" spans="1:70">
      <c r="A578" t="s">
        <v>2574</v>
      </c>
      <c r="B578" t="s">
        <v>2575</v>
      </c>
      <c r="C578" t="s">
        <v>71</v>
      </c>
      <c r="D578" t="s">
        <v>289</v>
      </c>
      <c r="E578" t="s">
        <v>73</v>
      </c>
      <c r="F578" t="s">
        <v>74</v>
      </c>
      <c r="G578">
        <v>241742</v>
      </c>
      <c r="H578" t="s">
        <v>74</v>
      </c>
      <c r="I578" t="s">
        <v>75</v>
      </c>
      <c r="J578" t="s">
        <v>74</v>
      </c>
      <c r="K578" t="s">
        <v>2576</v>
      </c>
      <c r="L578" t="s">
        <v>77</v>
      </c>
      <c r="M578" t="s">
        <v>78</v>
      </c>
      <c r="N578" t="s">
        <v>614</v>
      </c>
      <c r="O578" t="s">
        <v>2577</v>
      </c>
      <c r="P578" t="s">
        <v>2565</v>
      </c>
      <c r="T578">
        <v>1</v>
      </c>
      <c r="AF578" t="s">
        <v>823</v>
      </c>
      <c r="AG578" t="s">
        <v>296</v>
      </c>
      <c r="AH578" t="s">
        <v>823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36.46</v>
      </c>
      <c r="AT578">
        <v>0</v>
      </c>
      <c r="AU578">
        <v>0</v>
      </c>
      <c r="AV578">
        <v>0</v>
      </c>
      <c r="AW578">
        <v>0</v>
      </c>
      <c r="AX578">
        <v>0</v>
      </c>
      <c r="AY578">
        <v>0</v>
      </c>
      <c r="AZ578">
        <v>0</v>
      </c>
      <c r="BA578">
        <v>0</v>
      </c>
      <c r="BB578">
        <v>0</v>
      </c>
      <c r="BC578">
        <v>0</v>
      </c>
      <c r="BD578">
        <v>1529.21</v>
      </c>
      <c r="BE578">
        <v>0</v>
      </c>
      <c r="BF578">
        <v>458.08</v>
      </c>
      <c r="BG578">
        <v>0</v>
      </c>
      <c r="BH578">
        <v>0</v>
      </c>
      <c r="BI578">
        <v>421.62</v>
      </c>
      <c r="BJ578">
        <v>0</v>
      </c>
      <c r="BK578">
        <v>0</v>
      </c>
      <c r="BL578">
        <v>0</v>
      </c>
      <c r="BM578">
        <v>0</v>
      </c>
      <c r="BN578">
        <v>2445.37</v>
      </c>
      <c r="BO578">
        <v>391.25</v>
      </c>
      <c r="BP578">
        <v>97.81</v>
      </c>
      <c r="BQ578">
        <f t="shared" ref="BQ578:BQ641" si="9">(BN578+BO578-BP578)</f>
        <v>2738.81</v>
      </c>
      <c r="BR578" t="s">
        <v>616</v>
      </c>
    </row>
    <row r="579" spans="1:70">
      <c r="A579" t="s">
        <v>2578</v>
      </c>
      <c r="B579" t="s">
        <v>2579</v>
      </c>
      <c r="C579" t="s">
        <v>71</v>
      </c>
      <c r="D579" t="s">
        <v>289</v>
      </c>
      <c r="E579" t="s">
        <v>73</v>
      </c>
      <c r="F579" t="s">
        <v>74</v>
      </c>
      <c r="G579">
        <v>241750</v>
      </c>
      <c r="H579" t="s">
        <v>74</v>
      </c>
      <c r="I579" t="s">
        <v>75</v>
      </c>
      <c r="J579" t="s">
        <v>74</v>
      </c>
      <c r="K579" t="s">
        <v>2580</v>
      </c>
      <c r="L579" t="s">
        <v>77</v>
      </c>
      <c r="M579" t="s">
        <v>78</v>
      </c>
      <c r="N579" t="s">
        <v>1246</v>
      </c>
      <c r="O579" t="s">
        <v>2581</v>
      </c>
      <c r="P579" t="s">
        <v>2565</v>
      </c>
      <c r="T579">
        <v>1</v>
      </c>
      <c r="AF579" t="s">
        <v>823</v>
      </c>
      <c r="AG579" t="s">
        <v>296</v>
      </c>
      <c r="AH579" t="s">
        <v>823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36.46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0</v>
      </c>
      <c r="BC579">
        <v>0</v>
      </c>
      <c r="BD579">
        <v>1071.1300000000001</v>
      </c>
      <c r="BE579">
        <v>0</v>
      </c>
      <c r="BF579">
        <v>458.08</v>
      </c>
      <c r="BG579">
        <v>0</v>
      </c>
      <c r="BH579">
        <v>0</v>
      </c>
      <c r="BI579">
        <v>421.62</v>
      </c>
      <c r="BJ579">
        <v>0</v>
      </c>
      <c r="BK579">
        <v>0</v>
      </c>
      <c r="BL579">
        <v>0</v>
      </c>
      <c r="BM579">
        <v>0</v>
      </c>
      <c r="BN579">
        <v>1987.29</v>
      </c>
      <c r="BO579">
        <v>317.95999999999998</v>
      </c>
      <c r="BP579">
        <v>79.489999999999995</v>
      </c>
      <c r="BQ579">
        <f t="shared" si="9"/>
        <v>2225.7600000000002</v>
      </c>
      <c r="BR579" t="s">
        <v>1248</v>
      </c>
    </row>
    <row r="580" spans="1:70">
      <c r="A580" t="s">
        <v>2582</v>
      </c>
      <c r="B580" t="s">
        <v>2583</v>
      </c>
      <c r="C580" t="s">
        <v>71</v>
      </c>
      <c r="D580" t="s">
        <v>289</v>
      </c>
      <c r="E580" t="s">
        <v>73</v>
      </c>
      <c r="F580" t="s">
        <v>74</v>
      </c>
      <c r="G580">
        <v>240958</v>
      </c>
      <c r="H580" t="s">
        <v>74</v>
      </c>
      <c r="I580" t="s">
        <v>75</v>
      </c>
      <c r="J580" t="s">
        <v>74</v>
      </c>
      <c r="K580" t="s">
        <v>2584</v>
      </c>
      <c r="L580" t="s">
        <v>77</v>
      </c>
      <c r="M580" t="s">
        <v>78</v>
      </c>
      <c r="N580" t="s">
        <v>674</v>
      </c>
      <c r="O580" t="s">
        <v>1213</v>
      </c>
      <c r="P580" t="s">
        <v>2565</v>
      </c>
      <c r="V580">
        <v>1</v>
      </c>
      <c r="AF580" t="s">
        <v>295</v>
      </c>
      <c r="AG580" t="s">
        <v>296</v>
      </c>
      <c r="AH580" t="s">
        <v>295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0.15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375.85</v>
      </c>
      <c r="BE580">
        <v>0</v>
      </c>
      <c r="BF580">
        <v>40</v>
      </c>
      <c r="BG580">
        <v>0</v>
      </c>
      <c r="BH580">
        <v>0</v>
      </c>
      <c r="BI580">
        <v>8</v>
      </c>
      <c r="BJ580">
        <v>0</v>
      </c>
      <c r="BK580">
        <v>0</v>
      </c>
      <c r="BL580">
        <v>0</v>
      </c>
      <c r="BM580">
        <v>0</v>
      </c>
      <c r="BN580">
        <v>424</v>
      </c>
      <c r="BO580">
        <v>67.84</v>
      </c>
      <c r="BP580">
        <v>16.96</v>
      </c>
      <c r="BQ580">
        <f t="shared" si="9"/>
        <v>474.88000000000005</v>
      </c>
      <c r="BR580" t="s">
        <v>674</v>
      </c>
    </row>
    <row r="581" spans="1:70">
      <c r="A581" t="s">
        <v>2585</v>
      </c>
      <c r="B581" t="s">
        <v>2586</v>
      </c>
      <c r="C581" t="s">
        <v>71</v>
      </c>
      <c r="D581" t="s">
        <v>289</v>
      </c>
      <c r="E581" t="s">
        <v>73</v>
      </c>
      <c r="F581" t="s">
        <v>74</v>
      </c>
      <c r="G581">
        <v>241764</v>
      </c>
      <c r="H581" t="s">
        <v>74</v>
      </c>
      <c r="I581" t="s">
        <v>75</v>
      </c>
      <c r="J581" t="s">
        <v>74</v>
      </c>
      <c r="K581" t="s">
        <v>2587</v>
      </c>
      <c r="L581" t="s">
        <v>77</v>
      </c>
      <c r="M581" t="s">
        <v>78</v>
      </c>
      <c r="N581" t="s">
        <v>312</v>
      </c>
      <c r="O581" t="s">
        <v>2588</v>
      </c>
      <c r="P581" t="s">
        <v>2565</v>
      </c>
      <c r="Z581">
        <v>2</v>
      </c>
      <c r="AF581" t="s">
        <v>339</v>
      </c>
      <c r="AG581" t="s">
        <v>296</v>
      </c>
      <c r="AH581" t="s">
        <v>339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0.3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327.7</v>
      </c>
      <c r="BE581">
        <v>0</v>
      </c>
      <c r="BF581">
        <v>80</v>
      </c>
      <c r="BG581">
        <v>0</v>
      </c>
      <c r="BH581">
        <v>0</v>
      </c>
      <c r="BI581">
        <v>16</v>
      </c>
      <c r="BJ581">
        <v>0</v>
      </c>
      <c r="BK581">
        <v>0</v>
      </c>
      <c r="BL581">
        <v>0</v>
      </c>
      <c r="BM581">
        <v>0</v>
      </c>
      <c r="BN581">
        <v>424</v>
      </c>
      <c r="BO581">
        <v>67.84</v>
      </c>
      <c r="BP581">
        <v>16.96</v>
      </c>
      <c r="BQ581">
        <f t="shared" si="9"/>
        <v>474.88000000000005</v>
      </c>
      <c r="BR581" t="s">
        <v>312</v>
      </c>
    </row>
    <row r="582" spans="1:70">
      <c r="A582" t="s">
        <v>2589</v>
      </c>
      <c r="B582" t="s">
        <v>2590</v>
      </c>
      <c r="C582" t="s">
        <v>71</v>
      </c>
      <c r="D582" t="s">
        <v>289</v>
      </c>
      <c r="E582" t="s">
        <v>73</v>
      </c>
      <c r="F582" t="s">
        <v>74</v>
      </c>
      <c r="G582">
        <v>241773</v>
      </c>
      <c r="H582" t="s">
        <v>74</v>
      </c>
      <c r="I582" t="s">
        <v>75</v>
      </c>
      <c r="J582" t="s">
        <v>74</v>
      </c>
      <c r="K582" t="s">
        <v>2591</v>
      </c>
      <c r="L582" t="s">
        <v>77</v>
      </c>
      <c r="M582" t="s">
        <v>78</v>
      </c>
      <c r="N582" t="s">
        <v>2459</v>
      </c>
      <c r="O582" t="s">
        <v>2592</v>
      </c>
      <c r="P582" t="s">
        <v>2565</v>
      </c>
      <c r="X582">
        <v>6</v>
      </c>
      <c r="AF582" t="s">
        <v>400</v>
      </c>
      <c r="AG582" t="s">
        <v>296</v>
      </c>
      <c r="AH582" t="s">
        <v>400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0.9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</v>
      </c>
      <c r="BC582">
        <v>0</v>
      </c>
      <c r="BD582">
        <v>92.7</v>
      </c>
      <c r="BE582">
        <v>0</v>
      </c>
      <c r="BF582">
        <v>240</v>
      </c>
      <c r="BG582">
        <v>0</v>
      </c>
      <c r="BH582">
        <v>0</v>
      </c>
      <c r="BI582">
        <v>48</v>
      </c>
      <c r="BJ582">
        <v>0</v>
      </c>
      <c r="BK582">
        <v>0</v>
      </c>
      <c r="BL582">
        <v>0</v>
      </c>
      <c r="BM582">
        <v>0</v>
      </c>
      <c r="BN582">
        <v>381.6</v>
      </c>
      <c r="BO582">
        <v>61.05</v>
      </c>
      <c r="BP582">
        <v>15.27</v>
      </c>
      <c r="BQ582">
        <f t="shared" si="9"/>
        <v>427.38000000000005</v>
      </c>
      <c r="BR582" t="s">
        <v>343</v>
      </c>
    </row>
    <row r="583" spans="1:70">
      <c r="A583" t="s">
        <v>2593</v>
      </c>
      <c r="B583" t="s">
        <v>2594</v>
      </c>
      <c r="C583" t="s">
        <v>71</v>
      </c>
      <c r="D583" t="s">
        <v>289</v>
      </c>
      <c r="E583" t="s">
        <v>73</v>
      </c>
      <c r="F583" t="s">
        <v>74</v>
      </c>
      <c r="G583">
        <v>241781</v>
      </c>
      <c r="H583" t="s">
        <v>74</v>
      </c>
      <c r="I583" t="s">
        <v>75</v>
      </c>
      <c r="J583" t="s">
        <v>74</v>
      </c>
      <c r="K583" t="s">
        <v>2595</v>
      </c>
      <c r="L583" t="s">
        <v>77</v>
      </c>
      <c r="M583" t="s">
        <v>78</v>
      </c>
      <c r="N583" t="s">
        <v>432</v>
      </c>
      <c r="O583" t="s">
        <v>2596</v>
      </c>
      <c r="P583" t="s">
        <v>2565</v>
      </c>
      <c r="AB583">
        <v>3</v>
      </c>
      <c r="AF583" t="s">
        <v>314</v>
      </c>
      <c r="AG583" t="s">
        <v>296</v>
      </c>
      <c r="AH583" t="s">
        <v>314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0.45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327.24</v>
      </c>
      <c r="BE583">
        <v>0</v>
      </c>
      <c r="BF583">
        <v>120</v>
      </c>
      <c r="BG583">
        <v>0</v>
      </c>
      <c r="BH583">
        <v>0</v>
      </c>
      <c r="BI583">
        <v>24</v>
      </c>
      <c r="BJ583">
        <v>0</v>
      </c>
      <c r="BK583">
        <v>0</v>
      </c>
      <c r="BL583">
        <v>0</v>
      </c>
      <c r="BM583">
        <v>0</v>
      </c>
      <c r="BN583">
        <v>471.69</v>
      </c>
      <c r="BO583">
        <v>75.47</v>
      </c>
      <c r="BP583">
        <v>18.87</v>
      </c>
      <c r="BQ583">
        <f t="shared" si="9"/>
        <v>528.29</v>
      </c>
      <c r="BR583" t="s">
        <v>432</v>
      </c>
    </row>
    <row r="584" spans="1:70">
      <c r="A584" t="s">
        <v>2597</v>
      </c>
      <c r="B584" t="s">
        <v>2598</v>
      </c>
      <c r="C584" t="s">
        <v>71</v>
      </c>
      <c r="D584" t="s">
        <v>289</v>
      </c>
      <c r="E584" t="s">
        <v>73</v>
      </c>
      <c r="F584" t="s">
        <v>74</v>
      </c>
      <c r="G584">
        <v>241780</v>
      </c>
      <c r="H584" t="s">
        <v>74</v>
      </c>
      <c r="I584" t="s">
        <v>75</v>
      </c>
      <c r="J584" t="s">
        <v>74</v>
      </c>
      <c r="K584" t="s">
        <v>2599</v>
      </c>
      <c r="L584" t="s">
        <v>77</v>
      </c>
      <c r="M584" t="s">
        <v>78</v>
      </c>
      <c r="N584" t="s">
        <v>558</v>
      </c>
      <c r="O584" t="s">
        <v>1005</v>
      </c>
      <c r="P584" t="s">
        <v>2565</v>
      </c>
      <c r="V584">
        <v>1</v>
      </c>
      <c r="AF584" t="s">
        <v>295</v>
      </c>
      <c r="AG584" t="s">
        <v>296</v>
      </c>
      <c r="AH584" t="s">
        <v>295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0.15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423.55</v>
      </c>
      <c r="BE584">
        <v>0</v>
      </c>
      <c r="BF584">
        <v>40</v>
      </c>
      <c r="BG584">
        <v>0</v>
      </c>
      <c r="BH584">
        <v>0</v>
      </c>
      <c r="BI584">
        <v>8</v>
      </c>
      <c r="BJ584">
        <v>0</v>
      </c>
      <c r="BK584">
        <v>0</v>
      </c>
      <c r="BL584">
        <v>0</v>
      </c>
      <c r="BM584">
        <v>0</v>
      </c>
      <c r="BN584">
        <v>471.7</v>
      </c>
      <c r="BO584">
        <v>75.47</v>
      </c>
      <c r="BP584">
        <v>18.87</v>
      </c>
      <c r="BQ584">
        <f t="shared" si="9"/>
        <v>528.29999999999995</v>
      </c>
      <c r="BR584" t="s">
        <v>560</v>
      </c>
    </row>
    <row r="585" spans="1:70">
      <c r="A585" t="s">
        <v>2600</v>
      </c>
      <c r="B585" t="s">
        <v>2601</v>
      </c>
      <c r="C585" t="s">
        <v>71</v>
      </c>
      <c r="D585" t="s">
        <v>289</v>
      </c>
      <c r="E585" t="s">
        <v>73</v>
      </c>
      <c r="F585" t="s">
        <v>74</v>
      </c>
      <c r="G585">
        <v>241783</v>
      </c>
      <c r="H585" t="s">
        <v>74</v>
      </c>
      <c r="I585" t="s">
        <v>75</v>
      </c>
      <c r="J585" t="s">
        <v>74</v>
      </c>
      <c r="K585" t="s">
        <v>2602</v>
      </c>
      <c r="L585" t="s">
        <v>77</v>
      </c>
      <c r="M585" t="s">
        <v>78</v>
      </c>
      <c r="N585" t="s">
        <v>250</v>
      </c>
      <c r="O585" t="s">
        <v>2603</v>
      </c>
      <c r="P585" t="s">
        <v>2565</v>
      </c>
      <c r="X585">
        <v>15</v>
      </c>
      <c r="AF585" t="s">
        <v>235</v>
      </c>
      <c r="AG585" t="s">
        <v>296</v>
      </c>
      <c r="AH585" t="s">
        <v>235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2.25</v>
      </c>
      <c r="AT585">
        <v>0</v>
      </c>
      <c r="AU585">
        <v>0</v>
      </c>
      <c r="AV585">
        <v>394.35</v>
      </c>
      <c r="AW585">
        <v>0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692.85</v>
      </c>
      <c r="BE585">
        <v>0</v>
      </c>
      <c r="BF585">
        <v>600</v>
      </c>
      <c r="BG585">
        <v>0</v>
      </c>
      <c r="BH585">
        <v>0</v>
      </c>
      <c r="BI585">
        <v>120</v>
      </c>
      <c r="BJ585">
        <v>0</v>
      </c>
      <c r="BK585">
        <v>0</v>
      </c>
      <c r="BL585">
        <v>0</v>
      </c>
      <c r="BM585">
        <v>0</v>
      </c>
      <c r="BN585">
        <v>1809.45</v>
      </c>
      <c r="BO585">
        <v>289.52</v>
      </c>
      <c r="BP585">
        <v>56.6</v>
      </c>
      <c r="BQ585">
        <f t="shared" si="9"/>
        <v>2042.3700000000003</v>
      </c>
      <c r="BR585" t="s">
        <v>253</v>
      </c>
    </row>
    <row r="586" spans="1:70">
      <c r="A586" t="s">
        <v>2604</v>
      </c>
      <c r="B586" t="s">
        <v>2605</v>
      </c>
      <c r="C586" t="s">
        <v>71</v>
      </c>
      <c r="D586" t="s">
        <v>289</v>
      </c>
      <c r="E586" t="s">
        <v>73</v>
      </c>
      <c r="F586" t="s">
        <v>74</v>
      </c>
      <c r="G586">
        <v>241798</v>
      </c>
      <c r="H586" t="s">
        <v>74</v>
      </c>
      <c r="I586" t="s">
        <v>75</v>
      </c>
      <c r="J586" t="s">
        <v>74</v>
      </c>
      <c r="K586" t="s">
        <v>2606</v>
      </c>
      <c r="L586" t="s">
        <v>77</v>
      </c>
      <c r="M586" t="s">
        <v>78</v>
      </c>
      <c r="N586" t="s">
        <v>324</v>
      </c>
      <c r="O586" t="s">
        <v>2607</v>
      </c>
      <c r="P586" t="s">
        <v>2565</v>
      </c>
      <c r="X586">
        <v>11</v>
      </c>
      <c r="AF586" t="s">
        <v>470</v>
      </c>
      <c r="AG586" t="s">
        <v>296</v>
      </c>
      <c r="AH586" t="s">
        <v>470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1.65</v>
      </c>
      <c r="AT586">
        <v>0</v>
      </c>
      <c r="AU586">
        <v>0</v>
      </c>
      <c r="AV586">
        <v>289.19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508.09</v>
      </c>
      <c r="BE586">
        <v>0</v>
      </c>
      <c r="BF586">
        <v>440</v>
      </c>
      <c r="BG586">
        <v>0</v>
      </c>
      <c r="BH586">
        <v>0</v>
      </c>
      <c r="BI586">
        <v>88</v>
      </c>
      <c r="BJ586">
        <v>0</v>
      </c>
      <c r="BK586">
        <v>0</v>
      </c>
      <c r="BL586">
        <v>0</v>
      </c>
      <c r="BM586">
        <v>0</v>
      </c>
      <c r="BN586">
        <v>1326.93</v>
      </c>
      <c r="BO586">
        <v>212.3</v>
      </c>
      <c r="BP586">
        <v>41.51</v>
      </c>
      <c r="BQ586">
        <f t="shared" si="9"/>
        <v>1497.72</v>
      </c>
      <c r="BR586" t="s">
        <v>324</v>
      </c>
    </row>
    <row r="587" spans="1:70">
      <c r="A587" t="s">
        <v>2608</v>
      </c>
      <c r="B587" t="s">
        <v>2609</v>
      </c>
      <c r="C587" t="s">
        <v>71</v>
      </c>
      <c r="D587" t="s">
        <v>289</v>
      </c>
      <c r="E587" t="s">
        <v>73</v>
      </c>
      <c r="F587" t="s">
        <v>74</v>
      </c>
      <c r="G587">
        <v>241809</v>
      </c>
      <c r="H587" t="s">
        <v>74</v>
      </c>
      <c r="I587" t="s">
        <v>75</v>
      </c>
      <c r="J587" t="s">
        <v>74</v>
      </c>
      <c r="K587" t="s">
        <v>2610</v>
      </c>
      <c r="L587" t="s">
        <v>77</v>
      </c>
      <c r="M587" t="s">
        <v>78</v>
      </c>
      <c r="N587" t="s">
        <v>2611</v>
      </c>
      <c r="O587" t="s">
        <v>2612</v>
      </c>
      <c r="P587" t="s">
        <v>2565</v>
      </c>
      <c r="X587">
        <v>25</v>
      </c>
      <c r="AF587" t="s">
        <v>717</v>
      </c>
      <c r="AG587" t="s">
        <v>296</v>
      </c>
      <c r="AH587" t="s">
        <v>717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3.75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386.25</v>
      </c>
      <c r="BE587">
        <v>0</v>
      </c>
      <c r="BF587">
        <v>1000</v>
      </c>
      <c r="BG587">
        <v>0</v>
      </c>
      <c r="BH587">
        <v>0</v>
      </c>
      <c r="BI587">
        <v>200</v>
      </c>
      <c r="BJ587">
        <v>0</v>
      </c>
      <c r="BK587">
        <v>0</v>
      </c>
      <c r="BL587">
        <v>0</v>
      </c>
      <c r="BM587">
        <v>0</v>
      </c>
      <c r="BN587">
        <v>1590</v>
      </c>
      <c r="BO587">
        <v>254.4</v>
      </c>
      <c r="BP587">
        <v>63.6</v>
      </c>
      <c r="BQ587">
        <f t="shared" si="9"/>
        <v>1780.8000000000002</v>
      </c>
      <c r="BR587" t="s">
        <v>1248</v>
      </c>
    </row>
    <row r="588" spans="1:70">
      <c r="A588" t="s">
        <v>2613</v>
      </c>
      <c r="B588" t="s">
        <v>2614</v>
      </c>
      <c r="C588" t="s">
        <v>71</v>
      </c>
      <c r="D588" t="s">
        <v>289</v>
      </c>
      <c r="E588" t="s">
        <v>73</v>
      </c>
      <c r="F588" t="s">
        <v>74</v>
      </c>
      <c r="G588">
        <v>13</v>
      </c>
      <c r="H588" t="s">
        <v>2615</v>
      </c>
      <c r="I588" t="s">
        <v>75</v>
      </c>
      <c r="J588" t="s">
        <v>74</v>
      </c>
      <c r="K588" t="s">
        <v>2118</v>
      </c>
      <c r="L588" t="s">
        <v>77</v>
      </c>
      <c r="M588" t="s">
        <v>78</v>
      </c>
      <c r="N588" t="s">
        <v>1381</v>
      </c>
      <c r="O588" t="s">
        <v>2616</v>
      </c>
      <c r="P588" t="s">
        <v>2565</v>
      </c>
      <c r="V588">
        <v>1</v>
      </c>
      <c r="AF588" t="s">
        <v>295</v>
      </c>
      <c r="AG588" t="s">
        <v>296</v>
      </c>
      <c r="AH588" t="s">
        <v>295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0.15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375.85</v>
      </c>
      <c r="BE588">
        <v>0</v>
      </c>
      <c r="BF588">
        <v>40</v>
      </c>
      <c r="BG588">
        <v>0</v>
      </c>
      <c r="BH588">
        <v>0</v>
      </c>
      <c r="BI588">
        <v>8</v>
      </c>
      <c r="BJ588">
        <v>0</v>
      </c>
      <c r="BK588">
        <v>0</v>
      </c>
      <c r="BL588">
        <v>0</v>
      </c>
      <c r="BM588">
        <v>0</v>
      </c>
      <c r="BN588">
        <v>424</v>
      </c>
      <c r="BO588">
        <v>67.84</v>
      </c>
      <c r="BP588">
        <v>16.96</v>
      </c>
      <c r="BQ588">
        <f t="shared" si="9"/>
        <v>474.88000000000005</v>
      </c>
      <c r="BR588" t="s">
        <v>83</v>
      </c>
    </row>
    <row r="589" spans="1:70">
      <c r="A589" t="s">
        <v>2617</v>
      </c>
      <c r="B589" t="s">
        <v>2618</v>
      </c>
      <c r="C589" t="s">
        <v>71</v>
      </c>
      <c r="D589" t="s">
        <v>289</v>
      </c>
      <c r="E589" t="s">
        <v>73</v>
      </c>
      <c r="F589" t="s">
        <v>74</v>
      </c>
      <c r="G589" t="s">
        <v>2619</v>
      </c>
      <c r="H589" t="s">
        <v>74</v>
      </c>
      <c r="I589" t="s">
        <v>75</v>
      </c>
      <c r="J589" t="s">
        <v>74</v>
      </c>
      <c r="K589" t="s">
        <v>2620</v>
      </c>
      <c r="L589" t="s">
        <v>77</v>
      </c>
      <c r="M589" t="s">
        <v>78</v>
      </c>
      <c r="N589" t="s">
        <v>1088</v>
      </c>
      <c r="O589" t="s">
        <v>2621</v>
      </c>
      <c r="P589" t="s">
        <v>2565</v>
      </c>
      <c r="V589">
        <v>1</v>
      </c>
      <c r="AF589" t="s">
        <v>295</v>
      </c>
      <c r="AG589" t="s">
        <v>296</v>
      </c>
      <c r="AH589" t="s">
        <v>295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0.15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>
        <v>375.85</v>
      </c>
      <c r="BE589">
        <v>0</v>
      </c>
      <c r="BF589">
        <v>40</v>
      </c>
      <c r="BG589">
        <v>0</v>
      </c>
      <c r="BH589">
        <v>0</v>
      </c>
      <c r="BI589">
        <v>8</v>
      </c>
      <c r="BJ589">
        <v>0</v>
      </c>
      <c r="BK589">
        <v>0</v>
      </c>
      <c r="BL589">
        <v>0</v>
      </c>
      <c r="BM589">
        <v>0</v>
      </c>
      <c r="BN589">
        <v>424</v>
      </c>
      <c r="BO589">
        <v>67.84</v>
      </c>
      <c r="BP589">
        <v>16.96</v>
      </c>
      <c r="BQ589">
        <f t="shared" si="9"/>
        <v>474.88000000000005</v>
      </c>
      <c r="BR589" t="s">
        <v>83</v>
      </c>
    </row>
    <row r="590" spans="1:70">
      <c r="A590" t="s">
        <v>2622</v>
      </c>
      <c r="B590" t="s">
        <v>2623</v>
      </c>
      <c r="C590" t="s">
        <v>71</v>
      </c>
      <c r="D590" t="s">
        <v>289</v>
      </c>
      <c r="E590" t="s">
        <v>73</v>
      </c>
      <c r="F590" t="s">
        <v>74</v>
      </c>
      <c r="G590" t="s">
        <v>2624</v>
      </c>
      <c r="H590" t="s">
        <v>74</v>
      </c>
      <c r="I590" t="s">
        <v>75</v>
      </c>
      <c r="J590" t="s">
        <v>74</v>
      </c>
      <c r="K590" t="s">
        <v>2625</v>
      </c>
      <c r="L590" t="s">
        <v>77</v>
      </c>
      <c r="M590" t="s">
        <v>78</v>
      </c>
      <c r="N590" t="s">
        <v>748</v>
      </c>
      <c r="O590" t="s">
        <v>1026</v>
      </c>
      <c r="P590" t="s">
        <v>2565</v>
      </c>
      <c r="V590">
        <v>1</v>
      </c>
      <c r="AF590" t="s">
        <v>295</v>
      </c>
      <c r="AG590" t="s">
        <v>296</v>
      </c>
      <c r="AH590" t="s">
        <v>295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0.15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375.85</v>
      </c>
      <c r="BE590">
        <v>0</v>
      </c>
      <c r="BF590">
        <v>40</v>
      </c>
      <c r="BG590">
        <v>0</v>
      </c>
      <c r="BH590">
        <v>0</v>
      </c>
      <c r="BI590">
        <v>8</v>
      </c>
      <c r="BJ590">
        <v>0</v>
      </c>
      <c r="BK590">
        <v>0</v>
      </c>
      <c r="BL590">
        <v>0</v>
      </c>
      <c r="BM590">
        <v>0</v>
      </c>
      <c r="BN590">
        <v>424</v>
      </c>
      <c r="BO590">
        <v>67.84</v>
      </c>
      <c r="BP590">
        <v>16.96</v>
      </c>
      <c r="BQ590">
        <f t="shared" si="9"/>
        <v>474.88000000000005</v>
      </c>
      <c r="BR590" t="s">
        <v>748</v>
      </c>
    </row>
    <row r="591" spans="1:70">
      <c r="A591" t="s">
        <v>2626</v>
      </c>
      <c r="B591" t="s">
        <v>2627</v>
      </c>
      <c r="C591" t="s">
        <v>71</v>
      </c>
      <c r="D591" t="s">
        <v>289</v>
      </c>
      <c r="E591" t="s">
        <v>73</v>
      </c>
      <c r="F591" t="s">
        <v>74</v>
      </c>
      <c r="G591">
        <v>241782</v>
      </c>
      <c r="H591" t="s">
        <v>74</v>
      </c>
      <c r="I591" t="s">
        <v>75</v>
      </c>
      <c r="J591" t="s">
        <v>74</v>
      </c>
      <c r="K591" t="s">
        <v>2628</v>
      </c>
      <c r="L591" t="s">
        <v>77</v>
      </c>
      <c r="M591" t="s">
        <v>78</v>
      </c>
      <c r="N591" t="s">
        <v>438</v>
      </c>
      <c r="O591" t="s">
        <v>506</v>
      </c>
      <c r="P591" t="s">
        <v>2565</v>
      </c>
      <c r="X591">
        <v>6</v>
      </c>
      <c r="AF591" t="s">
        <v>400</v>
      </c>
      <c r="AG591" t="s">
        <v>296</v>
      </c>
      <c r="AH591" t="s">
        <v>400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0.9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92.7</v>
      </c>
      <c r="BE591">
        <v>0</v>
      </c>
      <c r="BF591">
        <v>240</v>
      </c>
      <c r="BG591">
        <v>0</v>
      </c>
      <c r="BH591">
        <v>0</v>
      </c>
      <c r="BI591">
        <v>48</v>
      </c>
      <c r="BJ591">
        <v>0</v>
      </c>
      <c r="BK591">
        <v>0</v>
      </c>
      <c r="BL591">
        <v>0</v>
      </c>
      <c r="BM591">
        <v>0</v>
      </c>
      <c r="BN591">
        <v>381.6</v>
      </c>
      <c r="BO591">
        <v>61.05</v>
      </c>
      <c r="BP591">
        <v>15.27</v>
      </c>
      <c r="BQ591">
        <f t="shared" si="9"/>
        <v>427.38000000000005</v>
      </c>
      <c r="BR591" t="s">
        <v>440</v>
      </c>
    </row>
    <row r="592" spans="1:70">
      <c r="A592" t="s">
        <v>2629</v>
      </c>
      <c r="B592" t="s">
        <v>2630</v>
      </c>
      <c r="C592" t="s">
        <v>71</v>
      </c>
      <c r="D592" t="s">
        <v>289</v>
      </c>
      <c r="E592" t="s">
        <v>73</v>
      </c>
      <c r="F592" t="s">
        <v>74</v>
      </c>
      <c r="G592">
        <v>241838</v>
      </c>
      <c r="H592" t="s">
        <v>74</v>
      </c>
      <c r="I592" t="s">
        <v>75</v>
      </c>
      <c r="J592" t="s">
        <v>74</v>
      </c>
      <c r="K592" t="s">
        <v>2631</v>
      </c>
      <c r="L592" t="s">
        <v>77</v>
      </c>
      <c r="M592" t="s">
        <v>78</v>
      </c>
      <c r="N592" t="s">
        <v>406</v>
      </c>
      <c r="O592" t="s">
        <v>1279</v>
      </c>
      <c r="P592" t="s">
        <v>2632</v>
      </c>
      <c r="V592">
        <v>1</v>
      </c>
      <c r="AF592" t="s">
        <v>295</v>
      </c>
      <c r="AG592" t="s">
        <v>296</v>
      </c>
      <c r="AH592" t="s">
        <v>295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0.15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375.85</v>
      </c>
      <c r="BE592">
        <v>0</v>
      </c>
      <c r="BF592">
        <v>40</v>
      </c>
      <c r="BG592">
        <v>0</v>
      </c>
      <c r="BH592">
        <v>0</v>
      </c>
      <c r="BI592">
        <v>8</v>
      </c>
      <c r="BJ592">
        <v>0</v>
      </c>
      <c r="BK592">
        <v>0</v>
      </c>
      <c r="BL592">
        <v>0</v>
      </c>
      <c r="BM592">
        <v>0</v>
      </c>
      <c r="BN592">
        <v>424</v>
      </c>
      <c r="BO592">
        <v>67.84</v>
      </c>
      <c r="BP592">
        <v>16.96</v>
      </c>
      <c r="BQ592">
        <f t="shared" si="9"/>
        <v>474.88000000000005</v>
      </c>
      <c r="BR592" t="s">
        <v>406</v>
      </c>
    </row>
    <row r="593" spans="1:70">
      <c r="A593" t="s">
        <v>2633</v>
      </c>
      <c r="B593" t="s">
        <v>2634</v>
      </c>
      <c r="C593" t="s">
        <v>71</v>
      </c>
      <c r="D593" t="s">
        <v>289</v>
      </c>
      <c r="E593" t="s">
        <v>73</v>
      </c>
      <c r="F593" t="s">
        <v>74</v>
      </c>
      <c r="G593">
        <v>241839</v>
      </c>
      <c r="H593" t="s">
        <v>74</v>
      </c>
      <c r="I593" t="s">
        <v>75</v>
      </c>
      <c r="J593" t="s">
        <v>74</v>
      </c>
      <c r="K593" t="s">
        <v>2635</v>
      </c>
      <c r="L593" t="s">
        <v>77</v>
      </c>
      <c r="M593" t="s">
        <v>78</v>
      </c>
      <c r="N593" t="s">
        <v>175</v>
      </c>
      <c r="O593" t="s">
        <v>2636</v>
      </c>
      <c r="P593" t="s">
        <v>2632</v>
      </c>
      <c r="T593">
        <v>2</v>
      </c>
      <c r="AF593" t="s">
        <v>808</v>
      </c>
      <c r="AG593" t="s">
        <v>296</v>
      </c>
      <c r="AH593" t="s">
        <v>808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72.92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4587.6400000000003</v>
      </c>
      <c r="BE593">
        <v>0</v>
      </c>
      <c r="BF593">
        <v>916.16</v>
      </c>
      <c r="BG593">
        <v>0</v>
      </c>
      <c r="BH593">
        <v>0</v>
      </c>
      <c r="BI593">
        <v>843.24</v>
      </c>
      <c r="BJ593">
        <v>0</v>
      </c>
      <c r="BK593">
        <v>0</v>
      </c>
      <c r="BL593">
        <v>0</v>
      </c>
      <c r="BM593">
        <v>0</v>
      </c>
      <c r="BN593">
        <v>6419.96</v>
      </c>
      <c r="BO593">
        <v>1027.2</v>
      </c>
      <c r="BP593">
        <v>256.81</v>
      </c>
      <c r="BQ593">
        <f t="shared" si="9"/>
        <v>7190.3499999999995</v>
      </c>
      <c r="BR593" t="s">
        <v>175</v>
      </c>
    </row>
    <row r="594" spans="1:70">
      <c r="A594" t="s">
        <v>2637</v>
      </c>
      <c r="B594" t="s">
        <v>2638</v>
      </c>
      <c r="C594" t="s">
        <v>71</v>
      </c>
      <c r="D594" t="s">
        <v>289</v>
      </c>
      <c r="E594" t="s">
        <v>73</v>
      </c>
      <c r="F594" t="s">
        <v>74</v>
      </c>
      <c r="G594">
        <v>241841</v>
      </c>
      <c r="H594" t="s">
        <v>74</v>
      </c>
      <c r="I594" t="s">
        <v>75</v>
      </c>
      <c r="J594" t="s">
        <v>74</v>
      </c>
      <c r="K594" t="s">
        <v>2639</v>
      </c>
      <c r="L594" t="s">
        <v>77</v>
      </c>
      <c r="M594" t="s">
        <v>78</v>
      </c>
      <c r="N594" t="s">
        <v>1427</v>
      </c>
      <c r="O594" t="s">
        <v>1428</v>
      </c>
      <c r="P594" t="s">
        <v>2632</v>
      </c>
      <c r="AD594">
        <v>4</v>
      </c>
      <c r="AF594" t="s">
        <v>326</v>
      </c>
      <c r="AG594" t="s">
        <v>296</v>
      </c>
      <c r="AH594" t="s">
        <v>326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0.6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231.4</v>
      </c>
      <c r="BE594">
        <v>0</v>
      </c>
      <c r="BF594">
        <v>160</v>
      </c>
      <c r="BG594">
        <v>0</v>
      </c>
      <c r="BH594">
        <v>0</v>
      </c>
      <c r="BI594">
        <v>32</v>
      </c>
      <c r="BJ594">
        <v>0</v>
      </c>
      <c r="BK594">
        <v>0</v>
      </c>
      <c r="BL594">
        <v>0</v>
      </c>
      <c r="BM594">
        <v>0</v>
      </c>
      <c r="BN594">
        <v>424</v>
      </c>
      <c r="BO594">
        <v>67.84</v>
      </c>
      <c r="BP594">
        <v>16.96</v>
      </c>
      <c r="BQ594">
        <f t="shared" si="9"/>
        <v>474.88000000000005</v>
      </c>
      <c r="BR594" t="s">
        <v>1429</v>
      </c>
    </row>
    <row r="595" spans="1:70">
      <c r="A595" t="s">
        <v>2640</v>
      </c>
      <c r="B595" t="s">
        <v>2641</v>
      </c>
      <c r="C595" t="s">
        <v>71</v>
      </c>
      <c r="D595" t="s">
        <v>289</v>
      </c>
      <c r="E595" t="s">
        <v>73</v>
      </c>
      <c r="F595" t="s">
        <v>74</v>
      </c>
      <c r="G595">
        <v>241842</v>
      </c>
      <c r="H595" t="s">
        <v>74</v>
      </c>
      <c r="I595" t="s">
        <v>75</v>
      </c>
      <c r="J595" t="s">
        <v>74</v>
      </c>
      <c r="K595" t="s">
        <v>2642</v>
      </c>
      <c r="L595" t="s">
        <v>77</v>
      </c>
      <c r="M595" t="s">
        <v>78</v>
      </c>
      <c r="N595" t="s">
        <v>721</v>
      </c>
      <c r="O595" t="s">
        <v>722</v>
      </c>
      <c r="P595" t="s">
        <v>2632</v>
      </c>
      <c r="X595">
        <v>25</v>
      </c>
      <c r="AF595" t="s">
        <v>717</v>
      </c>
      <c r="AG595" t="s">
        <v>296</v>
      </c>
      <c r="AH595" t="s">
        <v>717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3.75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386.25</v>
      </c>
      <c r="BE595">
        <v>0</v>
      </c>
      <c r="BF595">
        <v>1000</v>
      </c>
      <c r="BG595">
        <v>0</v>
      </c>
      <c r="BH595">
        <v>0</v>
      </c>
      <c r="BI595">
        <v>200</v>
      </c>
      <c r="BJ595">
        <v>0</v>
      </c>
      <c r="BK595">
        <v>0</v>
      </c>
      <c r="BL595">
        <v>0</v>
      </c>
      <c r="BM595">
        <v>0</v>
      </c>
      <c r="BN595">
        <v>1590</v>
      </c>
      <c r="BO595">
        <v>254.4</v>
      </c>
      <c r="BP595">
        <v>63.6</v>
      </c>
      <c r="BQ595">
        <f t="shared" si="9"/>
        <v>1780.8000000000002</v>
      </c>
      <c r="BR595" t="s">
        <v>721</v>
      </c>
    </row>
    <row r="596" spans="1:70">
      <c r="A596" t="s">
        <v>2643</v>
      </c>
      <c r="B596" t="s">
        <v>2644</v>
      </c>
      <c r="C596" t="s">
        <v>71</v>
      </c>
      <c r="D596" t="s">
        <v>289</v>
      </c>
      <c r="E596" t="s">
        <v>73</v>
      </c>
      <c r="F596" t="s">
        <v>74</v>
      </c>
      <c r="G596">
        <v>241843</v>
      </c>
      <c r="H596" t="s">
        <v>74</v>
      </c>
      <c r="I596" t="s">
        <v>75</v>
      </c>
      <c r="K596" t="s">
        <v>2645</v>
      </c>
      <c r="L596" t="s">
        <v>77</v>
      </c>
      <c r="M596" t="s">
        <v>78</v>
      </c>
      <c r="N596" t="s">
        <v>647</v>
      </c>
      <c r="O596" t="s">
        <v>2646</v>
      </c>
      <c r="P596" t="s">
        <v>2632</v>
      </c>
      <c r="X596">
        <v>5</v>
      </c>
      <c r="AF596" t="s">
        <v>333</v>
      </c>
      <c r="AG596" t="s">
        <v>296</v>
      </c>
      <c r="AH596" t="s">
        <v>333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0.75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77.25</v>
      </c>
      <c r="BE596">
        <v>0</v>
      </c>
      <c r="BF596">
        <v>200</v>
      </c>
      <c r="BG596">
        <v>0</v>
      </c>
      <c r="BH596">
        <v>0</v>
      </c>
      <c r="BI596">
        <v>40</v>
      </c>
      <c r="BJ596">
        <v>0</v>
      </c>
      <c r="BK596">
        <v>0</v>
      </c>
      <c r="BL596">
        <v>0</v>
      </c>
      <c r="BM596">
        <v>0</v>
      </c>
      <c r="BN596">
        <v>318</v>
      </c>
      <c r="BO596">
        <v>50.88</v>
      </c>
      <c r="BP596">
        <v>12.72</v>
      </c>
      <c r="BQ596">
        <f t="shared" si="9"/>
        <v>356.15999999999997</v>
      </c>
      <c r="BR596" t="s">
        <v>649</v>
      </c>
    </row>
    <row r="597" spans="1:70">
      <c r="A597" t="s">
        <v>2647</v>
      </c>
      <c r="B597" t="s">
        <v>2648</v>
      </c>
      <c r="C597" t="s">
        <v>71</v>
      </c>
      <c r="D597" t="s">
        <v>289</v>
      </c>
      <c r="E597" t="s">
        <v>73</v>
      </c>
      <c r="F597" t="s">
        <v>74</v>
      </c>
      <c r="G597">
        <v>241846</v>
      </c>
      <c r="H597" t="s">
        <v>74</v>
      </c>
      <c r="I597" t="s">
        <v>75</v>
      </c>
      <c r="J597" t="s">
        <v>74</v>
      </c>
      <c r="K597" t="s">
        <v>2649</v>
      </c>
      <c r="L597" t="s">
        <v>77</v>
      </c>
      <c r="M597" t="s">
        <v>78</v>
      </c>
      <c r="N597" t="s">
        <v>92</v>
      </c>
      <c r="O597" t="s">
        <v>2650</v>
      </c>
      <c r="P597" t="s">
        <v>2632</v>
      </c>
      <c r="X597">
        <v>7</v>
      </c>
      <c r="AF597" t="s">
        <v>345</v>
      </c>
      <c r="AG597" t="s">
        <v>296</v>
      </c>
      <c r="AH597" t="s">
        <v>345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1.05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108.15</v>
      </c>
      <c r="BE597">
        <v>0</v>
      </c>
      <c r="BF597">
        <v>280</v>
      </c>
      <c r="BG597">
        <v>0</v>
      </c>
      <c r="BH597">
        <v>0</v>
      </c>
      <c r="BI597">
        <v>56</v>
      </c>
      <c r="BJ597">
        <v>0</v>
      </c>
      <c r="BK597">
        <v>0</v>
      </c>
      <c r="BL597">
        <v>0</v>
      </c>
      <c r="BM597">
        <v>0</v>
      </c>
      <c r="BN597">
        <v>445.2</v>
      </c>
      <c r="BO597">
        <v>71.23</v>
      </c>
      <c r="BP597">
        <v>17.809999999999999</v>
      </c>
      <c r="BQ597">
        <f t="shared" si="9"/>
        <v>498.61999999999995</v>
      </c>
      <c r="BR597" t="s">
        <v>371</v>
      </c>
    </row>
    <row r="598" spans="1:70">
      <c r="A598" t="s">
        <v>2651</v>
      </c>
      <c r="B598" t="s">
        <v>2652</v>
      </c>
      <c r="C598" t="s">
        <v>71</v>
      </c>
      <c r="D598" t="s">
        <v>289</v>
      </c>
      <c r="E598" t="s">
        <v>73</v>
      </c>
      <c r="F598" t="s">
        <v>74</v>
      </c>
      <c r="G598">
        <v>241847</v>
      </c>
      <c r="H598" t="s">
        <v>74</v>
      </c>
      <c r="I598" t="s">
        <v>75</v>
      </c>
      <c r="K598" t="s">
        <v>2653</v>
      </c>
      <c r="L598" t="s">
        <v>77</v>
      </c>
      <c r="M598" t="s">
        <v>78</v>
      </c>
      <c r="N598" t="s">
        <v>92</v>
      </c>
      <c r="O598" t="s">
        <v>2650</v>
      </c>
      <c r="P598" t="s">
        <v>2632</v>
      </c>
      <c r="V598">
        <v>1</v>
      </c>
      <c r="AF598" t="s">
        <v>295</v>
      </c>
      <c r="AG598" t="s">
        <v>296</v>
      </c>
      <c r="AH598" t="s">
        <v>295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0.15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375.85</v>
      </c>
      <c r="BE598">
        <v>0</v>
      </c>
      <c r="BF598">
        <v>40</v>
      </c>
      <c r="BG598">
        <v>0</v>
      </c>
      <c r="BH598">
        <v>0</v>
      </c>
      <c r="BI598">
        <v>8</v>
      </c>
      <c r="BJ598">
        <v>0</v>
      </c>
      <c r="BK598">
        <v>0</v>
      </c>
      <c r="BL598">
        <v>0</v>
      </c>
      <c r="BM598">
        <v>0</v>
      </c>
      <c r="BN598">
        <v>424</v>
      </c>
      <c r="BO598">
        <v>67.84</v>
      </c>
      <c r="BP598">
        <v>16.96</v>
      </c>
      <c r="BQ598">
        <f t="shared" si="9"/>
        <v>474.88000000000005</v>
      </c>
      <c r="BR598" t="s">
        <v>371</v>
      </c>
    </row>
    <row r="599" spans="1:70">
      <c r="A599" t="s">
        <v>2654</v>
      </c>
      <c r="B599" t="s">
        <v>2655</v>
      </c>
      <c r="C599" t="s">
        <v>71</v>
      </c>
      <c r="D599" t="s">
        <v>289</v>
      </c>
      <c r="E599" t="s">
        <v>73</v>
      </c>
      <c r="F599" t="s">
        <v>1183</v>
      </c>
      <c r="G599" t="s">
        <v>2656</v>
      </c>
      <c r="H599" t="s">
        <v>74</v>
      </c>
      <c r="I599" t="s">
        <v>75</v>
      </c>
      <c r="J599" t="s">
        <v>74</v>
      </c>
      <c r="K599" t="s">
        <v>2657</v>
      </c>
      <c r="L599" t="s">
        <v>77</v>
      </c>
      <c r="M599" t="s">
        <v>78</v>
      </c>
      <c r="N599" t="s">
        <v>343</v>
      </c>
      <c r="O599" t="s">
        <v>625</v>
      </c>
      <c r="P599" t="s">
        <v>2632</v>
      </c>
      <c r="X599">
        <v>7</v>
      </c>
      <c r="AF599" t="s">
        <v>345</v>
      </c>
      <c r="AG599" t="s">
        <v>296</v>
      </c>
      <c r="AH599" t="s">
        <v>345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1.05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108.15</v>
      </c>
      <c r="BE599">
        <v>0</v>
      </c>
      <c r="BF599">
        <v>280</v>
      </c>
      <c r="BG599">
        <v>0</v>
      </c>
      <c r="BH599">
        <v>0</v>
      </c>
      <c r="BI599">
        <v>56</v>
      </c>
      <c r="BJ599">
        <v>0</v>
      </c>
      <c r="BK599">
        <v>0</v>
      </c>
      <c r="BL599">
        <v>0</v>
      </c>
      <c r="BM599">
        <v>0</v>
      </c>
      <c r="BN599">
        <v>445.2</v>
      </c>
      <c r="BO599">
        <v>71.23</v>
      </c>
      <c r="BP599">
        <v>17.809999999999999</v>
      </c>
      <c r="BQ599">
        <f t="shared" si="9"/>
        <v>498.61999999999995</v>
      </c>
      <c r="BR599" t="s">
        <v>343</v>
      </c>
    </row>
    <row r="600" spans="1:70">
      <c r="A600" t="s">
        <v>2658</v>
      </c>
      <c r="B600" t="s">
        <v>2659</v>
      </c>
      <c r="C600" t="s">
        <v>71</v>
      </c>
      <c r="D600" t="s">
        <v>289</v>
      </c>
      <c r="E600" t="s">
        <v>73</v>
      </c>
      <c r="F600" t="s">
        <v>74</v>
      </c>
      <c r="G600">
        <v>241869</v>
      </c>
      <c r="H600" t="s">
        <v>74</v>
      </c>
      <c r="I600" t="s">
        <v>75</v>
      </c>
      <c r="J600" t="s">
        <v>74</v>
      </c>
      <c r="K600" t="s">
        <v>2660</v>
      </c>
      <c r="L600" t="s">
        <v>77</v>
      </c>
      <c r="M600" t="s">
        <v>78</v>
      </c>
      <c r="N600" t="s">
        <v>79</v>
      </c>
      <c r="O600" t="s">
        <v>2661</v>
      </c>
      <c r="P600" t="s">
        <v>2632</v>
      </c>
      <c r="AB600">
        <v>3</v>
      </c>
      <c r="AF600" t="s">
        <v>314</v>
      </c>
      <c r="AG600" t="s">
        <v>296</v>
      </c>
      <c r="AH600" t="s">
        <v>314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0.45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279.54000000000002</v>
      </c>
      <c r="BE600">
        <v>0</v>
      </c>
      <c r="BF600">
        <v>120</v>
      </c>
      <c r="BG600">
        <v>0</v>
      </c>
      <c r="BH600">
        <v>0</v>
      </c>
      <c r="BI600">
        <v>24</v>
      </c>
      <c r="BJ600">
        <v>0</v>
      </c>
      <c r="BK600">
        <v>0</v>
      </c>
      <c r="BL600">
        <v>0</v>
      </c>
      <c r="BM600">
        <v>0</v>
      </c>
      <c r="BN600">
        <v>423.99</v>
      </c>
      <c r="BO600">
        <v>67.84</v>
      </c>
      <c r="BP600">
        <v>16.96</v>
      </c>
      <c r="BQ600">
        <f t="shared" si="9"/>
        <v>474.87000000000006</v>
      </c>
      <c r="BR600" t="s">
        <v>83</v>
      </c>
    </row>
    <row r="601" spans="1:70">
      <c r="A601" t="s">
        <v>2662</v>
      </c>
      <c r="B601" t="s">
        <v>2663</v>
      </c>
      <c r="C601" t="s">
        <v>71</v>
      </c>
      <c r="D601" t="s">
        <v>289</v>
      </c>
      <c r="E601" t="s">
        <v>73</v>
      </c>
      <c r="F601" t="s">
        <v>74</v>
      </c>
      <c r="G601">
        <v>241870</v>
      </c>
      <c r="H601" t="s">
        <v>74</v>
      </c>
      <c r="I601" t="s">
        <v>75</v>
      </c>
      <c r="J601" t="s">
        <v>74</v>
      </c>
      <c r="K601" t="s">
        <v>2664</v>
      </c>
      <c r="L601" t="s">
        <v>77</v>
      </c>
      <c r="M601" t="s">
        <v>78</v>
      </c>
      <c r="N601" t="s">
        <v>404</v>
      </c>
      <c r="O601" t="s">
        <v>457</v>
      </c>
      <c r="P601" t="s">
        <v>2632</v>
      </c>
      <c r="V601">
        <v>1</v>
      </c>
      <c r="AF601" t="s">
        <v>295</v>
      </c>
      <c r="AG601" t="s">
        <v>296</v>
      </c>
      <c r="AH601" t="s">
        <v>295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0.15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375.85</v>
      </c>
      <c r="BE601">
        <v>0</v>
      </c>
      <c r="BF601">
        <v>40</v>
      </c>
      <c r="BG601">
        <v>0</v>
      </c>
      <c r="BH601">
        <v>0</v>
      </c>
      <c r="BI601">
        <v>8</v>
      </c>
      <c r="BJ601">
        <v>0</v>
      </c>
      <c r="BK601">
        <v>0</v>
      </c>
      <c r="BL601">
        <v>0</v>
      </c>
      <c r="BM601">
        <v>0</v>
      </c>
      <c r="BN601">
        <v>424</v>
      </c>
      <c r="BO601">
        <v>67.84</v>
      </c>
      <c r="BP601">
        <v>16.96</v>
      </c>
      <c r="BQ601">
        <f t="shared" si="9"/>
        <v>474.88000000000005</v>
      </c>
      <c r="BR601" t="s">
        <v>406</v>
      </c>
    </row>
    <row r="602" spans="1:70">
      <c r="A602" t="s">
        <v>2665</v>
      </c>
      <c r="B602" t="s">
        <v>2666</v>
      </c>
      <c r="C602" t="s">
        <v>71</v>
      </c>
      <c r="D602" t="s">
        <v>289</v>
      </c>
      <c r="E602" t="s">
        <v>73</v>
      </c>
      <c r="F602" t="s">
        <v>74</v>
      </c>
      <c r="G602">
        <v>241871</v>
      </c>
      <c r="H602" t="s">
        <v>74</v>
      </c>
      <c r="I602" t="s">
        <v>75</v>
      </c>
      <c r="J602" t="s">
        <v>74</v>
      </c>
      <c r="K602" t="s">
        <v>2667</v>
      </c>
      <c r="L602" t="s">
        <v>77</v>
      </c>
      <c r="M602" t="s">
        <v>78</v>
      </c>
      <c r="N602" t="s">
        <v>161</v>
      </c>
      <c r="O602" t="s">
        <v>973</v>
      </c>
      <c r="P602" t="s">
        <v>2632</v>
      </c>
      <c r="X602">
        <v>7</v>
      </c>
      <c r="AF602" t="s">
        <v>345</v>
      </c>
      <c r="AG602" t="s">
        <v>296</v>
      </c>
      <c r="AH602" t="s">
        <v>345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1.05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0</v>
      </c>
      <c r="BC602">
        <v>0</v>
      </c>
      <c r="BD602">
        <v>108.15</v>
      </c>
      <c r="BE602">
        <v>0</v>
      </c>
      <c r="BF602">
        <v>280</v>
      </c>
      <c r="BG602">
        <v>0</v>
      </c>
      <c r="BH602">
        <v>0</v>
      </c>
      <c r="BI602">
        <v>56</v>
      </c>
      <c r="BJ602">
        <v>0</v>
      </c>
      <c r="BK602">
        <v>0</v>
      </c>
      <c r="BL602">
        <v>0</v>
      </c>
      <c r="BM602">
        <v>0</v>
      </c>
      <c r="BN602">
        <v>445.2</v>
      </c>
      <c r="BO602">
        <v>71.23</v>
      </c>
      <c r="BP602">
        <v>17.809999999999999</v>
      </c>
      <c r="BQ602">
        <f t="shared" si="9"/>
        <v>498.61999999999995</v>
      </c>
      <c r="BR602" t="s">
        <v>83</v>
      </c>
    </row>
    <row r="603" spans="1:70">
      <c r="A603" t="s">
        <v>2668</v>
      </c>
      <c r="B603" t="s">
        <v>2669</v>
      </c>
      <c r="C603" t="s">
        <v>71</v>
      </c>
      <c r="D603" t="s">
        <v>289</v>
      </c>
      <c r="E603" t="s">
        <v>73</v>
      </c>
      <c r="F603" t="s">
        <v>74</v>
      </c>
      <c r="G603">
        <v>241872</v>
      </c>
      <c r="H603" t="s">
        <v>74</v>
      </c>
      <c r="I603" t="s">
        <v>75</v>
      </c>
      <c r="J603" t="s">
        <v>74</v>
      </c>
      <c r="K603" t="s">
        <v>2670</v>
      </c>
      <c r="L603" t="s">
        <v>77</v>
      </c>
      <c r="M603" t="s">
        <v>78</v>
      </c>
      <c r="N603" t="s">
        <v>461</v>
      </c>
      <c r="O603" t="s">
        <v>2671</v>
      </c>
      <c r="P603" t="s">
        <v>2632</v>
      </c>
      <c r="V603">
        <v>1</v>
      </c>
      <c r="AF603" t="s">
        <v>295</v>
      </c>
      <c r="AG603" t="s">
        <v>296</v>
      </c>
      <c r="AH603" t="s">
        <v>295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0.15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375.85</v>
      </c>
      <c r="BE603">
        <v>0</v>
      </c>
      <c r="BF603">
        <v>40</v>
      </c>
      <c r="BG603">
        <v>0</v>
      </c>
      <c r="BH603">
        <v>0</v>
      </c>
      <c r="BI603">
        <v>8</v>
      </c>
      <c r="BJ603">
        <v>0</v>
      </c>
      <c r="BK603">
        <v>0</v>
      </c>
      <c r="BL603">
        <v>0</v>
      </c>
      <c r="BM603">
        <v>0</v>
      </c>
      <c r="BN603">
        <v>424</v>
      </c>
      <c r="BO603">
        <v>67.84</v>
      </c>
      <c r="BP603">
        <v>16.96</v>
      </c>
      <c r="BQ603">
        <f t="shared" si="9"/>
        <v>474.88000000000005</v>
      </c>
      <c r="BR603" t="s">
        <v>83</v>
      </c>
    </row>
    <row r="604" spans="1:70">
      <c r="A604" t="s">
        <v>2672</v>
      </c>
      <c r="B604" t="s">
        <v>2673</v>
      </c>
      <c r="C604" t="s">
        <v>71</v>
      </c>
      <c r="D604" t="s">
        <v>289</v>
      </c>
      <c r="E604" t="s">
        <v>73</v>
      </c>
      <c r="F604" t="s">
        <v>74</v>
      </c>
      <c r="G604">
        <v>241873</v>
      </c>
      <c r="H604" t="s">
        <v>74</v>
      </c>
      <c r="I604" t="s">
        <v>75</v>
      </c>
      <c r="J604" t="s">
        <v>74</v>
      </c>
      <c r="K604" t="s">
        <v>2674</v>
      </c>
      <c r="L604" t="s">
        <v>77</v>
      </c>
      <c r="M604" t="s">
        <v>78</v>
      </c>
      <c r="N604" t="s">
        <v>637</v>
      </c>
      <c r="O604" t="s">
        <v>2675</v>
      </c>
      <c r="P604" t="s">
        <v>2632</v>
      </c>
      <c r="AB604">
        <v>3</v>
      </c>
      <c r="AF604" t="s">
        <v>314</v>
      </c>
      <c r="AG604" t="s">
        <v>296</v>
      </c>
      <c r="AH604" t="s">
        <v>314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0.45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327.24</v>
      </c>
      <c r="BE604">
        <v>0</v>
      </c>
      <c r="BF604">
        <v>120</v>
      </c>
      <c r="BG604">
        <v>0</v>
      </c>
      <c r="BH604">
        <v>0</v>
      </c>
      <c r="BI604">
        <v>24</v>
      </c>
      <c r="BJ604">
        <v>0</v>
      </c>
      <c r="BK604">
        <v>0</v>
      </c>
      <c r="BL604">
        <v>0</v>
      </c>
      <c r="BM604">
        <v>0</v>
      </c>
      <c r="BN604">
        <v>471.69</v>
      </c>
      <c r="BO604">
        <v>75.47</v>
      </c>
      <c r="BP604">
        <v>18.87</v>
      </c>
      <c r="BQ604">
        <f t="shared" si="9"/>
        <v>528.29</v>
      </c>
      <c r="BR604" t="s">
        <v>639</v>
      </c>
    </row>
    <row r="605" spans="1:70">
      <c r="A605" t="s">
        <v>2676</v>
      </c>
      <c r="B605" t="s">
        <v>2677</v>
      </c>
      <c r="C605" t="s">
        <v>71</v>
      </c>
      <c r="D605" t="s">
        <v>289</v>
      </c>
      <c r="E605" t="s">
        <v>73</v>
      </c>
      <c r="F605" t="s">
        <v>74</v>
      </c>
      <c r="G605">
        <v>241874</v>
      </c>
      <c r="H605" t="s">
        <v>74</v>
      </c>
      <c r="I605" t="s">
        <v>1809</v>
      </c>
      <c r="J605" t="s">
        <v>74</v>
      </c>
      <c r="K605" t="s">
        <v>2678</v>
      </c>
      <c r="L605" t="s">
        <v>77</v>
      </c>
      <c r="M605" t="s">
        <v>78</v>
      </c>
      <c r="N605" t="s">
        <v>959</v>
      </c>
      <c r="O605" t="s">
        <v>2679</v>
      </c>
      <c r="P605" t="s">
        <v>2632</v>
      </c>
      <c r="Z605">
        <v>2</v>
      </c>
      <c r="AF605" t="s">
        <v>339</v>
      </c>
      <c r="AG605" t="s">
        <v>296</v>
      </c>
      <c r="AH605" t="s">
        <v>339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0.3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</v>
      </c>
      <c r="BA605">
        <v>0</v>
      </c>
      <c r="BB605">
        <v>0</v>
      </c>
      <c r="BC605">
        <v>0</v>
      </c>
      <c r="BD605">
        <v>327.7</v>
      </c>
      <c r="BE605">
        <v>0</v>
      </c>
      <c r="BF605">
        <v>80</v>
      </c>
      <c r="BG605">
        <v>0</v>
      </c>
      <c r="BH605">
        <v>0</v>
      </c>
      <c r="BI605">
        <v>16</v>
      </c>
      <c r="BJ605">
        <v>0</v>
      </c>
      <c r="BK605">
        <v>0</v>
      </c>
      <c r="BL605">
        <v>0</v>
      </c>
      <c r="BM605">
        <v>0</v>
      </c>
      <c r="BN605">
        <v>424</v>
      </c>
      <c r="BO605">
        <v>67.84</v>
      </c>
      <c r="BP605">
        <v>16.96</v>
      </c>
      <c r="BQ605">
        <f t="shared" si="9"/>
        <v>474.88000000000005</v>
      </c>
      <c r="BR605" t="s">
        <v>959</v>
      </c>
    </row>
    <row r="606" spans="1:70">
      <c r="A606" t="s">
        <v>2680</v>
      </c>
      <c r="B606" t="s">
        <v>2681</v>
      </c>
      <c r="C606" t="s">
        <v>71</v>
      </c>
      <c r="D606" t="s">
        <v>289</v>
      </c>
      <c r="E606" t="s">
        <v>73</v>
      </c>
      <c r="F606" t="s">
        <v>74</v>
      </c>
      <c r="G606">
        <v>241876</v>
      </c>
      <c r="H606" t="s">
        <v>74</v>
      </c>
      <c r="I606" t="s">
        <v>75</v>
      </c>
      <c r="J606" t="s">
        <v>74</v>
      </c>
      <c r="K606" t="s">
        <v>2682</v>
      </c>
      <c r="L606" t="s">
        <v>77</v>
      </c>
      <c r="M606" t="s">
        <v>78</v>
      </c>
      <c r="N606" t="s">
        <v>432</v>
      </c>
      <c r="O606" t="s">
        <v>2683</v>
      </c>
      <c r="P606" t="s">
        <v>2632</v>
      </c>
      <c r="Z606">
        <v>2</v>
      </c>
      <c r="AF606" t="s">
        <v>339</v>
      </c>
      <c r="AG606" t="s">
        <v>296</v>
      </c>
      <c r="AH606" t="s">
        <v>339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0.3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375.4</v>
      </c>
      <c r="BE606">
        <v>0</v>
      </c>
      <c r="BF606">
        <v>80</v>
      </c>
      <c r="BG606">
        <v>0</v>
      </c>
      <c r="BH606">
        <v>0</v>
      </c>
      <c r="BI606">
        <v>16</v>
      </c>
      <c r="BJ606">
        <v>0</v>
      </c>
      <c r="BK606">
        <v>0</v>
      </c>
      <c r="BL606">
        <v>0</v>
      </c>
      <c r="BM606">
        <v>0</v>
      </c>
      <c r="BN606">
        <v>471.7</v>
      </c>
      <c r="BO606">
        <v>75.47</v>
      </c>
      <c r="BP606">
        <v>18.87</v>
      </c>
      <c r="BQ606">
        <f t="shared" si="9"/>
        <v>528.29999999999995</v>
      </c>
      <c r="BR606" t="s">
        <v>432</v>
      </c>
    </row>
    <row r="607" spans="1:70">
      <c r="A607" t="s">
        <v>2684</v>
      </c>
      <c r="B607" t="s">
        <v>2685</v>
      </c>
      <c r="C607" t="s">
        <v>71</v>
      </c>
      <c r="D607" t="s">
        <v>289</v>
      </c>
      <c r="E607" t="s">
        <v>73</v>
      </c>
      <c r="F607" t="s">
        <v>74</v>
      </c>
      <c r="G607">
        <v>241877</v>
      </c>
      <c r="H607" t="s">
        <v>74</v>
      </c>
      <c r="I607" t="s">
        <v>75</v>
      </c>
      <c r="K607" t="s">
        <v>2686</v>
      </c>
      <c r="L607" t="s">
        <v>77</v>
      </c>
      <c r="M607" t="s">
        <v>78</v>
      </c>
      <c r="N607" t="s">
        <v>161</v>
      </c>
      <c r="O607" t="s">
        <v>973</v>
      </c>
      <c r="P607" t="s">
        <v>2632</v>
      </c>
      <c r="V607">
        <v>1</v>
      </c>
      <c r="AF607" t="s">
        <v>295</v>
      </c>
      <c r="AG607" t="s">
        <v>296</v>
      </c>
      <c r="AH607" t="s">
        <v>295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0.15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375.85</v>
      </c>
      <c r="BE607">
        <v>0</v>
      </c>
      <c r="BF607">
        <v>40</v>
      </c>
      <c r="BG607">
        <v>0</v>
      </c>
      <c r="BH607">
        <v>0</v>
      </c>
      <c r="BI607">
        <v>8</v>
      </c>
      <c r="BJ607">
        <v>0</v>
      </c>
      <c r="BK607">
        <v>0</v>
      </c>
      <c r="BL607">
        <v>0</v>
      </c>
      <c r="BM607">
        <v>0</v>
      </c>
      <c r="BN607">
        <v>424</v>
      </c>
      <c r="BO607">
        <v>67.84</v>
      </c>
      <c r="BP607">
        <v>16.96</v>
      </c>
      <c r="BQ607">
        <f t="shared" si="9"/>
        <v>474.88000000000005</v>
      </c>
      <c r="BR607" t="s">
        <v>83</v>
      </c>
    </row>
    <row r="608" spans="1:70">
      <c r="A608" t="s">
        <v>2687</v>
      </c>
      <c r="B608" t="s">
        <v>2688</v>
      </c>
      <c r="C608" t="s">
        <v>71</v>
      </c>
      <c r="D608" t="s">
        <v>289</v>
      </c>
      <c r="E608" t="s">
        <v>73</v>
      </c>
      <c r="F608" t="s">
        <v>74</v>
      </c>
      <c r="G608">
        <v>241880</v>
      </c>
      <c r="H608" t="s">
        <v>74</v>
      </c>
      <c r="I608" t="s">
        <v>75</v>
      </c>
      <c r="J608" t="s">
        <v>74</v>
      </c>
      <c r="K608" t="s">
        <v>2689</v>
      </c>
      <c r="L608" t="s">
        <v>77</v>
      </c>
      <c r="M608" t="s">
        <v>78</v>
      </c>
      <c r="N608" t="s">
        <v>203</v>
      </c>
      <c r="O608" t="s">
        <v>204</v>
      </c>
      <c r="P608" t="s">
        <v>2632</v>
      </c>
      <c r="V608">
        <v>1</v>
      </c>
      <c r="AF608" t="s">
        <v>295</v>
      </c>
      <c r="AG608" t="s">
        <v>296</v>
      </c>
      <c r="AH608" t="s">
        <v>295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0.15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423.55</v>
      </c>
      <c r="BE608">
        <v>0</v>
      </c>
      <c r="BF608">
        <v>40</v>
      </c>
      <c r="BG608">
        <v>0</v>
      </c>
      <c r="BH608">
        <v>0</v>
      </c>
      <c r="BI608">
        <v>8</v>
      </c>
      <c r="BJ608">
        <v>0</v>
      </c>
      <c r="BK608">
        <v>0</v>
      </c>
      <c r="BL608">
        <v>0</v>
      </c>
      <c r="BM608">
        <v>0</v>
      </c>
      <c r="BN608">
        <v>471.7</v>
      </c>
      <c r="BO608">
        <v>75.47</v>
      </c>
      <c r="BP608">
        <v>18.87</v>
      </c>
      <c r="BQ608">
        <f t="shared" si="9"/>
        <v>528.29999999999995</v>
      </c>
      <c r="BR608" t="s">
        <v>203</v>
      </c>
    </row>
    <row r="609" spans="1:70">
      <c r="A609" t="s">
        <v>2690</v>
      </c>
      <c r="B609" t="s">
        <v>2691</v>
      </c>
      <c r="C609" t="s">
        <v>71</v>
      </c>
      <c r="D609" t="s">
        <v>289</v>
      </c>
      <c r="E609" t="s">
        <v>73</v>
      </c>
      <c r="F609" t="s">
        <v>74</v>
      </c>
      <c r="G609">
        <v>241887</v>
      </c>
      <c r="H609" t="s">
        <v>74</v>
      </c>
      <c r="I609" t="s">
        <v>75</v>
      </c>
      <c r="J609" t="s">
        <v>74</v>
      </c>
      <c r="K609" t="s">
        <v>2692</v>
      </c>
      <c r="L609" t="s">
        <v>77</v>
      </c>
      <c r="M609" t="s">
        <v>78</v>
      </c>
      <c r="N609" t="s">
        <v>137</v>
      </c>
      <c r="O609" t="s">
        <v>2693</v>
      </c>
      <c r="P609" t="s">
        <v>2632</v>
      </c>
      <c r="V609">
        <v>1</v>
      </c>
      <c r="AF609" t="s">
        <v>295</v>
      </c>
      <c r="AG609" t="s">
        <v>296</v>
      </c>
      <c r="AH609" t="s">
        <v>295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0.15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423.55</v>
      </c>
      <c r="BE609">
        <v>0</v>
      </c>
      <c r="BF609">
        <v>40</v>
      </c>
      <c r="BG609">
        <v>0</v>
      </c>
      <c r="BH609">
        <v>0</v>
      </c>
      <c r="BI609">
        <v>8</v>
      </c>
      <c r="BJ609">
        <v>0</v>
      </c>
      <c r="BK609">
        <v>0</v>
      </c>
      <c r="BL609">
        <v>0</v>
      </c>
      <c r="BM609">
        <v>0</v>
      </c>
      <c r="BN609">
        <v>471.7</v>
      </c>
      <c r="BO609">
        <v>75.47</v>
      </c>
      <c r="BP609">
        <v>18.87</v>
      </c>
      <c r="BQ609">
        <f t="shared" si="9"/>
        <v>528.29999999999995</v>
      </c>
      <c r="BR609" t="s">
        <v>141</v>
      </c>
    </row>
    <row r="610" spans="1:70">
      <c r="A610" t="s">
        <v>2694</v>
      </c>
      <c r="B610" t="s">
        <v>2695</v>
      </c>
      <c r="C610" t="s">
        <v>71</v>
      </c>
      <c r="D610" t="s">
        <v>289</v>
      </c>
      <c r="E610" t="s">
        <v>73</v>
      </c>
      <c r="F610" t="s">
        <v>74</v>
      </c>
      <c r="G610">
        <v>241888</v>
      </c>
      <c r="H610" t="s">
        <v>74</v>
      </c>
      <c r="I610" t="s">
        <v>75</v>
      </c>
      <c r="J610" t="s">
        <v>74</v>
      </c>
      <c r="K610" t="s">
        <v>2696</v>
      </c>
      <c r="L610" t="s">
        <v>77</v>
      </c>
      <c r="M610" t="s">
        <v>78</v>
      </c>
      <c r="N610" t="s">
        <v>137</v>
      </c>
      <c r="O610" t="s">
        <v>2693</v>
      </c>
      <c r="P610" t="s">
        <v>2632</v>
      </c>
      <c r="AB610">
        <v>3</v>
      </c>
      <c r="AF610" t="s">
        <v>314</v>
      </c>
      <c r="AG610" t="s">
        <v>296</v>
      </c>
      <c r="AH610" t="s">
        <v>314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0.45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327.24</v>
      </c>
      <c r="BE610">
        <v>0</v>
      </c>
      <c r="BF610">
        <v>120</v>
      </c>
      <c r="BG610">
        <v>0</v>
      </c>
      <c r="BH610">
        <v>0</v>
      </c>
      <c r="BI610">
        <v>24</v>
      </c>
      <c r="BJ610">
        <v>0</v>
      </c>
      <c r="BK610">
        <v>0</v>
      </c>
      <c r="BL610">
        <v>0</v>
      </c>
      <c r="BM610">
        <v>0</v>
      </c>
      <c r="BN610">
        <v>471.69</v>
      </c>
      <c r="BO610">
        <v>75.47</v>
      </c>
      <c r="BP610">
        <v>18.87</v>
      </c>
      <c r="BQ610">
        <f t="shared" si="9"/>
        <v>528.29</v>
      </c>
      <c r="BR610" t="s">
        <v>141</v>
      </c>
    </row>
    <row r="611" spans="1:70">
      <c r="A611" t="s">
        <v>2697</v>
      </c>
      <c r="B611" t="s">
        <v>2698</v>
      </c>
      <c r="C611" t="s">
        <v>71</v>
      </c>
      <c r="D611" t="s">
        <v>289</v>
      </c>
      <c r="E611" t="s">
        <v>73</v>
      </c>
      <c r="F611" t="s">
        <v>1183</v>
      </c>
      <c r="G611">
        <v>241903</v>
      </c>
      <c r="H611" t="s">
        <v>74</v>
      </c>
      <c r="I611" t="s">
        <v>75</v>
      </c>
      <c r="J611" t="s">
        <v>74</v>
      </c>
      <c r="K611" t="s">
        <v>2699</v>
      </c>
      <c r="L611" t="s">
        <v>77</v>
      </c>
      <c r="M611" t="s">
        <v>78</v>
      </c>
      <c r="N611" t="s">
        <v>964</v>
      </c>
      <c r="O611" t="s">
        <v>1357</v>
      </c>
      <c r="P611" t="s">
        <v>2632</v>
      </c>
      <c r="X611">
        <v>31</v>
      </c>
      <c r="AF611" t="s">
        <v>1059</v>
      </c>
      <c r="AG611" t="s">
        <v>296</v>
      </c>
      <c r="AH611" t="s">
        <v>1059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4.6500000000000004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1431.89</v>
      </c>
      <c r="BE611">
        <v>0</v>
      </c>
      <c r="BF611">
        <v>1240</v>
      </c>
      <c r="BG611">
        <v>0</v>
      </c>
      <c r="BH611">
        <v>0</v>
      </c>
      <c r="BI611">
        <v>248</v>
      </c>
      <c r="BJ611">
        <v>0</v>
      </c>
      <c r="BK611">
        <v>0</v>
      </c>
      <c r="BL611">
        <v>0</v>
      </c>
      <c r="BM611">
        <v>0</v>
      </c>
      <c r="BN611">
        <v>2924.54</v>
      </c>
      <c r="BO611">
        <v>467.92</v>
      </c>
      <c r="BP611">
        <v>116.99</v>
      </c>
      <c r="BQ611">
        <f t="shared" si="9"/>
        <v>3275.4700000000003</v>
      </c>
      <c r="BR611" t="s">
        <v>964</v>
      </c>
    </row>
    <row r="612" spans="1:70">
      <c r="A612" t="s">
        <v>2700</v>
      </c>
      <c r="B612" t="s">
        <v>2701</v>
      </c>
      <c r="C612" t="s">
        <v>71</v>
      </c>
      <c r="D612" t="s">
        <v>289</v>
      </c>
      <c r="E612" t="s">
        <v>73</v>
      </c>
      <c r="F612" t="s">
        <v>74</v>
      </c>
      <c r="G612">
        <v>241911</v>
      </c>
      <c r="H612" t="s">
        <v>74</v>
      </c>
      <c r="I612" t="s">
        <v>75</v>
      </c>
      <c r="J612" t="s">
        <v>74</v>
      </c>
      <c r="K612" t="s">
        <v>2702</v>
      </c>
      <c r="L612" t="s">
        <v>77</v>
      </c>
      <c r="M612" t="s">
        <v>78</v>
      </c>
      <c r="N612" t="s">
        <v>620</v>
      </c>
      <c r="O612" t="s">
        <v>1287</v>
      </c>
      <c r="P612" t="s">
        <v>2632</v>
      </c>
      <c r="V612">
        <v>1</v>
      </c>
      <c r="AF612" t="s">
        <v>295</v>
      </c>
      <c r="AG612" t="s">
        <v>296</v>
      </c>
      <c r="AH612" t="s">
        <v>295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0.15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375.85</v>
      </c>
      <c r="BE612">
        <v>0</v>
      </c>
      <c r="BF612">
        <v>40</v>
      </c>
      <c r="BG612">
        <v>0</v>
      </c>
      <c r="BH612">
        <v>0</v>
      </c>
      <c r="BI612">
        <v>8</v>
      </c>
      <c r="BJ612">
        <v>0</v>
      </c>
      <c r="BK612">
        <v>0</v>
      </c>
      <c r="BL612">
        <v>0</v>
      </c>
      <c r="BM612">
        <v>0</v>
      </c>
      <c r="BN612">
        <v>424</v>
      </c>
      <c r="BO612">
        <v>67.84</v>
      </c>
      <c r="BP612">
        <v>16.96</v>
      </c>
      <c r="BQ612">
        <f t="shared" si="9"/>
        <v>474.88000000000005</v>
      </c>
      <c r="BR612" t="s">
        <v>83</v>
      </c>
    </row>
    <row r="613" spans="1:70">
      <c r="A613" t="s">
        <v>2703</v>
      </c>
      <c r="B613" t="s">
        <v>2704</v>
      </c>
      <c r="C613" t="s">
        <v>71</v>
      </c>
      <c r="D613" t="s">
        <v>289</v>
      </c>
      <c r="E613" t="s">
        <v>73</v>
      </c>
      <c r="F613" t="s">
        <v>1183</v>
      </c>
      <c r="G613">
        <v>241913</v>
      </c>
      <c r="H613" t="s">
        <v>74</v>
      </c>
      <c r="I613" t="s">
        <v>75</v>
      </c>
      <c r="J613" t="s">
        <v>74</v>
      </c>
      <c r="K613" t="s">
        <v>2705</v>
      </c>
      <c r="L613" t="s">
        <v>77</v>
      </c>
      <c r="M613" t="s">
        <v>78</v>
      </c>
      <c r="N613" t="s">
        <v>438</v>
      </c>
      <c r="O613" t="s">
        <v>1470</v>
      </c>
      <c r="P613" t="s">
        <v>2632</v>
      </c>
      <c r="X613">
        <v>11</v>
      </c>
      <c r="AF613" t="s">
        <v>470</v>
      </c>
      <c r="AG613" t="s">
        <v>296</v>
      </c>
      <c r="AH613" t="s">
        <v>470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1.65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169.95</v>
      </c>
      <c r="BE613">
        <v>0</v>
      </c>
      <c r="BF613">
        <v>440</v>
      </c>
      <c r="BG613">
        <v>0</v>
      </c>
      <c r="BH613">
        <v>0</v>
      </c>
      <c r="BI613">
        <v>88</v>
      </c>
      <c r="BJ613">
        <v>0</v>
      </c>
      <c r="BK613">
        <v>0</v>
      </c>
      <c r="BL613">
        <v>0</v>
      </c>
      <c r="BM613">
        <v>0</v>
      </c>
      <c r="BN613">
        <v>699.6</v>
      </c>
      <c r="BO613">
        <v>111.93</v>
      </c>
      <c r="BP613">
        <v>27.99</v>
      </c>
      <c r="BQ613">
        <f t="shared" si="9"/>
        <v>783.54</v>
      </c>
      <c r="BR613" t="s">
        <v>440</v>
      </c>
    </row>
    <row r="614" spans="1:70">
      <c r="A614" t="s">
        <v>2706</v>
      </c>
      <c r="B614" t="s">
        <v>2707</v>
      </c>
      <c r="C614" t="s">
        <v>71</v>
      </c>
      <c r="D614" t="s">
        <v>289</v>
      </c>
      <c r="E614" t="s">
        <v>73</v>
      </c>
      <c r="F614" t="s">
        <v>74</v>
      </c>
      <c r="G614">
        <v>241918</v>
      </c>
      <c r="H614" t="s">
        <v>74</v>
      </c>
      <c r="I614" t="s">
        <v>75</v>
      </c>
      <c r="J614" t="s">
        <v>74</v>
      </c>
      <c r="K614" t="s">
        <v>2708</v>
      </c>
      <c r="L614" t="s">
        <v>77</v>
      </c>
      <c r="M614" t="s">
        <v>78</v>
      </c>
      <c r="N614" t="s">
        <v>832</v>
      </c>
      <c r="O614" t="s">
        <v>1176</v>
      </c>
      <c r="P614" t="s">
        <v>2632</v>
      </c>
      <c r="X614">
        <v>25</v>
      </c>
      <c r="AF614" t="s">
        <v>717</v>
      </c>
      <c r="AG614" t="s">
        <v>296</v>
      </c>
      <c r="AH614" t="s">
        <v>717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3.75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386.25</v>
      </c>
      <c r="BE614">
        <v>0</v>
      </c>
      <c r="BF614">
        <v>1000</v>
      </c>
      <c r="BG614">
        <v>0</v>
      </c>
      <c r="BH614">
        <v>0</v>
      </c>
      <c r="BI614">
        <v>200</v>
      </c>
      <c r="BJ614">
        <v>0</v>
      </c>
      <c r="BK614">
        <v>0</v>
      </c>
      <c r="BL614">
        <v>0</v>
      </c>
      <c r="BM614">
        <v>0</v>
      </c>
      <c r="BN614">
        <v>1590</v>
      </c>
      <c r="BO614">
        <v>254.4</v>
      </c>
      <c r="BP614">
        <v>63.6</v>
      </c>
      <c r="BQ614">
        <f t="shared" si="9"/>
        <v>1780.8000000000002</v>
      </c>
      <c r="BR614" t="s">
        <v>832</v>
      </c>
    </row>
    <row r="615" spans="1:70">
      <c r="A615" t="s">
        <v>2709</v>
      </c>
      <c r="B615" t="s">
        <v>2710</v>
      </c>
      <c r="C615" t="s">
        <v>71</v>
      </c>
      <c r="D615" t="s">
        <v>289</v>
      </c>
      <c r="E615" t="s">
        <v>73</v>
      </c>
      <c r="F615" t="s">
        <v>74</v>
      </c>
      <c r="G615">
        <v>241920</v>
      </c>
      <c r="H615" t="s">
        <v>74</v>
      </c>
      <c r="I615" t="s">
        <v>75</v>
      </c>
      <c r="J615" t="s">
        <v>74</v>
      </c>
      <c r="K615" t="s">
        <v>2711</v>
      </c>
      <c r="L615" t="s">
        <v>77</v>
      </c>
      <c r="M615" t="s">
        <v>78</v>
      </c>
      <c r="N615" t="s">
        <v>343</v>
      </c>
      <c r="O615" t="s">
        <v>683</v>
      </c>
      <c r="P615" t="s">
        <v>2632</v>
      </c>
      <c r="X615">
        <v>18</v>
      </c>
      <c r="AF615" t="s">
        <v>395</v>
      </c>
      <c r="AG615" t="s">
        <v>296</v>
      </c>
      <c r="AH615" t="s">
        <v>395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2.7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278.10000000000002</v>
      </c>
      <c r="BE615">
        <v>0</v>
      </c>
      <c r="BF615">
        <v>720</v>
      </c>
      <c r="BG615">
        <v>0</v>
      </c>
      <c r="BH615">
        <v>0</v>
      </c>
      <c r="BI615">
        <v>144</v>
      </c>
      <c r="BJ615">
        <v>0</v>
      </c>
      <c r="BK615">
        <v>0</v>
      </c>
      <c r="BL615">
        <v>0</v>
      </c>
      <c r="BM615">
        <v>0</v>
      </c>
      <c r="BN615">
        <v>1144.8</v>
      </c>
      <c r="BO615">
        <v>183.17</v>
      </c>
      <c r="BP615">
        <v>45.79</v>
      </c>
      <c r="BQ615">
        <f t="shared" si="9"/>
        <v>1282.18</v>
      </c>
      <c r="BR615" t="s">
        <v>343</v>
      </c>
    </row>
    <row r="616" spans="1:70">
      <c r="A616" t="s">
        <v>2712</v>
      </c>
      <c r="B616" t="s">
        <v>2713</v>
      </c>
      <c r="C616" t="s">
        <v>71</v>
      </c>
      <c r="D616" t="s">
        <v>289</v>
      </c>
      <c r="E616" t="s">
        <v>73</v>
      </c>
      <c r="F616" t="s">
        <v>74</v>
      </c>
      <c r="G616">
        <v>241923</v>
      </c>
      <c r="H616" t="s">
        <v>74</v>
      </c>
      <c r="I616" t="s">
        <v>75</v>
      </c>
      <c r="J616" t="s">
        <v>74</v>
      </c>
      <c r="K616" t="s">
        <v>2714</v>
      </c>
      <c r="L616" t="s">
        <v>77</v>
      </c>
      <c r="M616" t="s">
        <v>78</v>
      </c>
      <c r="N616" t="s">
        <v>106</v>
      </c>
      <c r="O616" t="s">
        <v>2715</v>
      </c>
      <c r="P616" t="s">
        <v>2632</v>
      </c>
      <c r="X616">
        <v>10</v>
      </c>
      <c r="AF616" t="s">
        <v>372</v>
      </c>
      <c r="AG616" t="s">
        <v>296</v>
      </c>
      <c r="AH616" t="s">
        <v>372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1.5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461.9</v>
      </c>
      <c r="BE616">
        <v>0</v>
      </c>
      <c r="BF616">
        <v>400</v>
      </c>
      <c r="BG616">
        <v>0</v>
      </c>
      <c r="BH616">
        <v>0</v>
      </c>
      <c r="BI616">
        <v>80</v>
      </c>
      <c r="BJ616">
        <v>0</v>
      </c>
      <c r="BK616">
        <v>0</v>
      </c>
      <c r="BL616">
        <v>0</v>
      </c>
      <c r="BM616">
        <v>0</v>
      </c>
      <c r="BN616">
        <v>943.4</v>
      </c>
      <c r="BO616">
        <v>150.94</v>
      </c>
      <c r="BP616">
        <v>37.74</v>
      </c>
      <c r="BQ616">
        <f t="shared" si="9"/>
        <v>1056.5999999999999</v>
      </c>
      <c r="BR616" t="s">
        <v>106</v>
      </c>
    </row>
    <row r="617" spans="1:70">
      <c r="A617" t="s">
        <v>2716</v>
      </c>
      <c r="B617" t="s">
        <v>2717</v>
      </c>
      <c r="C617" t="s">
        <v>71</v>
      </c>
      <c r="D617" t="s">
        <v>289</v>
      </c>
      <c r="E617" t="s">
        <v>73</v>
      </c>
      <c r="F617" t="s">
        <v>74</v>
      </c>
      <c r="G617">
        <v>241924</v>
      </c>
      <c r="H617" t="s">
        <v>74</v>
      </c>
      <c r="I617" t="s">
        <v>75</v>
      </c>
      <c r="J617" t="s">
        <v>74</v>
      </c>
      <c r="K617" t="s">
        <v>2718</v>
      </c>
      <c r="L617" t="s">
        <v>77</v>
      </c>
      <c r="M617" t="s">
        <v>78</v>
      </c>
      <c r="N617" t="s">
        <v>757</v>
      </c>
      <c r="O617" t="s">
        <v>899</v>
      </c>
      <c r="P617" t="s">
        <v>2632</v>
      </c>
      <c r="X617">
        <v>13</v>
      </c>
      <c r="AF617" t="s">
        <v>434</v>
      </c>
      <c r="AG617" t="s">
        <v>296</v>
      </c>
      <c r="AH617" t="s">
        <v>434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1.95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200.85</v>
      </c>
      <c r="BE617">
        <v>0</v>
      </c>
      <c r="BF617">
        <v>520</v>
      </c>
      <c r="BG617">
        <v>0</v>
      </c>
      <c r="BH617">
        <v>0</v>
      </c>
      <c r="BI617">
        <v>104</v>
      </c>
      <c r="BJ617">
        <v>0</v>
      </c>
      <c r="BK617">
        <v>0</v>
      </c>
      <c r="BL617">
        <v>0</v>
      </c>
      <c r="BM617">
        <v>0</v>
      </c>
      <c r="BN617">
        <v>826.8</v>
      </c>
      <c r="BO617">
        <v>132.29</v>
      </c>
      <c r="BP617">
        <v>33.07</v>
      </c>
      <c r="BQ617">
        <f t="shared" si="9"/>
        <v>926.01999999999987</v>
      </c>
      <c r="BR617" t="s">
        <v>757</v>
      </c>
    </row>
    <row r="618" spans="1:70">
      <c r="A618" t="s">
        <v>2719</v>
      </c>
      <c r="B618" t="s">
        <v>2720</v>
      </c>
      <c r="C618" t="s">
        <v>71</v>
      </c>
      <c r="D618" t="s">
        <v>289</v>
      </c>
      <c r="E618" t="s">
        <v>73</v>
      </c>
      <c r="F618" t="s">
        <v>74</v>
      </c>
      <c r="G618">
        <v>241925</v>
      </c>
      <c r="H618" t="s">
        <v>74</v>
      </c>
      <c r="I618" t="s">
        <v>75</v>
      </c>
      <c r="J618" t="s">
        <v>74</v>
      </c>
      <c r="K618" t="s">
        <v>2721</v>
      </c>
      <c r="L618" t="s">
        <v>77</v>
      </c>
      <c r="M618" t="s">
        <v>78</v>
      </c>
      <c r="N618" t="s">
        <v>924</v>
      </c>
      <c r="O618" t="s">
        <v>925</v>
      </c>
      <c r="P618" t="s">
        <v>2632</v>
      </c>
      <c r="X618">
        <v>26</v>
      </c>
      <c r="AF618" t="s">
        <v>920</v>
      </c>
      <c r="AG618" t="s">
        <v>296</v>
      </c>
      <c r="AH618" t="s">
        <v>920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3.9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401.7</v>
      </c>
      <c r="BE618">
        <v>0</v>
      </c>
      <c r="BF618">
        <v>1040</v>
      </c>
      <c r="BG618">
        <v>0</v>
      </c>
      <c r="BH618">
        <v>0</v>
      </c>
      <c r="BI618">
        <v>208</v>
      </c>
      <c r="BJ618">
        <v>0</v>
      </c>
      <c r="BK618">
        <v>0</v>
      </c>
      <c r="BL618">
        <v>0</v>
      </c>
      <c r="BM618">
        <v>0</v>
      </c>
      <c r="BN618">
        <v>1653.6</v>
      </c>
      <c r="BO618">
        <v>264.57</v>
      </c>
      <c r="BP618">
        <v>66.150000000000006</v>
      </c>
      <c r="BQ618">
        <f t="shared" si="9"/>
        <v>1852.0199999999998</v>
      </c>
      <c r="BR618" t="s">
        <v>757</v>
      </c>
    </row>
    <row r="619" spans="1:70">
      <c r="A619" t="s">
        <v>2722</v>
      </c>
      <c r="B619" t="s">
        <v>2723</v>
      </c>
      <c r="C619" t="s">
        <v>71</v>
      </c>
      <c r="D619" t="s">
        <v>289</v>
      </c>
      <c r="E619" t="s">
        <v>73</v>
      </c>
      <c r="F619" t="s">
        <v>74</v>
      </c>
      <c r="G619">
        <v>241926</v>
      </c>
      <c r="H619" t="s">
        <v>74</v>
      </c>
      <c r="I619" t="s">
        <v>75</v>
      </c>
      <c r="J619" t="s">
        <v>74</v>
      </c>
      <c r="K619" t="s">
        <v>2724</v>
      </c>
      <c r="L619" t="s">
        <v>77</v>
      </c>
      <c r="M619" t="s">
        <v>78</v>
      </c>
      <c r="N619" t="s">
        <v>1167</v>
      </c>
      <c r="O619" t="s">
        <v>1168</v>
      </c>
      <c r="P619" t="s">
        <v>2632</v>
      </c>
      <c r="X619">
        <v>15</v>
      </c>
      <c r="AF619" t="s">
        <v>235</v>
      </c>
      <c r="AG619" t="s">
        <v>296</v>
      </c>
      <c r="AH619" t="s">
        <v>235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2.25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692.85</v>
      </c>
      <c r="BE619">
        <v>0</v>
      </c>
      <c r="BF619">
        <v>600</v>
      </c>
      <c r="BG619">
        <v>0</v>
      </c>
      <c r="BH619">
        <v>0</v>
      </c>
      <c r="BI619">
        <v>120</v>
      </c>
      <c r="BJ619">
        <v>0</v>
      </c>
      <c r="BK619">
        <v>0</v>
      </c>
      <c r="BL619">
        <v>0</v>
      </c>
      <c r="BM619">
        <v>0</v>
      </c>
      <c r="BN619">
        <v>1415.1</v>
      </c>
      <c r="BO619">
        <v>226.42</v>
      </c>
      <c r="BP619">
        <v>56.6</v>
      </c>
      <c r="BQ619">
        <f t="shared" si="9"/>
        <v>1584.92</v>
      </c>
      <c r="BR619" t="s">
        <v>1167</v>
      </c>
    </row>
    <row r="620" spans="1:70">
      <c r="A620" t="s">
        <v>2725</v>
      </c>
      <c r="B620" t="s">
        <v>2726</v>
      </c>
      <c r="C620" t="s">
        <v>71</v>
      </c>
      <c r="D620" t="s">
        <v>289</v>
      </c>
      <c r="E620" t="s">
        <v>73</v>
      </c>
      <c r="F620" t="s">
        <v>74</v>
      </c>
      <c r="G620">
        <v>241932</v>
      </c>
      <c r="H620" t="s">
        <v>74</v>
      </c>
      <c r="I620" t="s">
        <v>75</v>
      </c>
      <c r="J620" t="s">
        <v>74</v>
      </c>
      <c r="K620" t="s">
        <v>2727</v>
      </c>
      <c r="L620" t="s">
        <v>77</v>
      </c>
      <c r="M620" t="s">
        <v>78</v>
      </c>
      <c r="N620" t="s">
        <v>358</v>
      </c>
      <c r="O620" t="s">
        <v>1138</v>
      </c>
      <c r="P620" t="s">
        <v>2632</v>
      </c>
      <c r="X620">
        <v>16</v>
      </c>
      <c r="AF620" t="s">
        <v>482</v>
      </c>
      <c r="AG620" t="s">
        <v>296</v>
      </c>
      <c r="AH620" t="s">
        <v>482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2.4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739.04</v>
      </c>
      <c r="BE620">
        <v>0</v>
      </c>
      <c r="BF620">
        <v>640</v>
      </c>
      <c r="BG620">
        <v>0</v>
      </c>
      <c r="BH620">
        <v>0</v>
      </c>
      <c r="BI620">
        <v>128</v>
      </c>
      <c r="BJ620">
        <v>0</v>
      </c>
      <c r="BK620">
        <v>0</v>
      </c>
      <c r="BL620">
        <v>0</v>
      </c>
      <c r="BM620">
        <v>0</v>
      </c>
      <c r="BN620">
        <v>1509.44</v>
      </c>
      <c r="BO620">
        <v>241.51</v>
      </c>
      <c r="BP620">
        <v>60.38</v>
      </c>
      <c r="BQ620">
        <f t="shared" si="9"/>
        <v>1690.57</v>
      </c>
      <c r="BR620" t="s">
        <v>358</v>
      </c>
    </row>
    <row r="621" spans="1:70">
      <c r="A621" t="s">
        <v>2728</v>
      </c>
      <c r="B621" t="s">
        <v>2729</v>
      </c>
      <c r="C621" t="s">
        <v>71</v>
      </c>
      <c r="D621" t="s">
        <v>289</v>
      </c>
      <c r="E621" t="s">
        <v>73</v>
      </c>
      <c r="F621" t="s">
        <v>74</v>
      </c>
      <c r="G621">
        <v>242026</v>
      </c>
      <c r="H621" t="s">
        <v>74</v>
      </c>
      <c r="I621" t="s">
        <v>75</v>
      </c>
      <c r="J621" t="s">
        <v>74</v>
      </c>
      <c r="K621" t="s">
        <v>2730</v>
      </c>
      <c r="L621" t="s">
        <v>77</v>
      </c>
      <c r="M621" t="s">
        <v>78</v>
      </c>
      <c r="N621" t="s">
        <v>349</v>
      </c>
      <c r="O621" t="s">
        <v>2731</v>
      </c>
      <c r="P621" t="s">
        <v>2732</v>
      </c>
      <c r="X621">
        <v>19</v>
      </c>
      <c r="AF621" t="s">
        <v>569</v>
      </c>
      <c r="AG621" t="s">
        <v>296</v>
      </c>
      <c r="AH621" t="s">
        <v>569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2.85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877.61</v>
      </c>
      <c r="BE621">
        <v>0</v>
      </c>
      <c r="BF621">
        <v>760</v>
      </c>
      <c r="BG621">
        <v>0</v>
      </c>
      <c r="BH621">
        <v>0</v>
      </c>
      <c r="BI621">
        <v>152</v>
      </c>
      <c r="BJ621">
        <v>0</v>
      </c>
      <c r="BK621">
        <v>0</v>
      </c>
      <c r="BL621">
        <v>0</v>
      </c>
      <c r="BM621">
        <v>0</v>
      </c>
      <c r="BN621">
        <v>1792.46</v>
      </c>
      <c r="BO621">
        <v>286.8</v>
      </c>
      <c r="BP621">
        <v>71.69</v>
      </c>
      <c r="BQ621">
        <f t="shared" si="9"/>
        <v>2007.5700000000002</v>
      </c>
      <c r="BR621" t="s">
        <v>349</v>
      </c>
    </row>
    <row r="622" spans="1:70">
      <c r="A622" t="s">
        <v>2733</v>
      </c>
      <c r="B622" t="s">
        <v>2734</v>
      </c>
      <c r="C622" t="s">
        <v>71</v>
      </c>
      <c r="D622" t="s">
        <v>289</v>
      </c>
      <c r="E622" t="s">
        <v>73</v>
      </c>
      <c r="F622" t="s">
        <v>74</v>
      </c>
      <c r="G622">
        <v>241848</v>
      </c>
      <c r="H622" t="s">
        <v>74</v>
      </c>
      <c r="I622" t="s">
        <v>75</v>
      </c>
      <c r="J622" t="s">
        <v>74</v>
      </c>
      <c r="K622" t="s">
        <v>2735</v>
      </c>
      <c r="L622" t="s">
        <v>77</v>
      </c>
      <c r="M622" t="s">
        <v>78</v>
      </c>
      <c r="N622" t="s">
        <v>2736</v>
      </c>
      <c r="O622" t="s">
        <v>2737</v>
      </c>
      <c r="P622" t="s">
        <v>2732</v>
      </c>
      <c r="X622">
        <v>14</v>
      </c>
      <c r="AF622" t="s">
        <v>413</v>
      </c>
      <c r="AG622" t="s">
        <v>296</v>
      </c>
      <c r="AH622" t="s">
        <v>413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2.1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216.3</v>
      </c>
      <c r="BE622">
        <v>0</v>
      </c>
      <c r="BF622">
        <v>560</v>
      </c>
      <c r="BG622">
        <v>0</v>
      </c>
      <c r="BH622">
        <v>0</v>
      </c>
      <c r="BI622">
        <v>112</v>
      </c>
      <c r="BJ622">
        <v>0</v>
      </c>
      <c r="BK622">
        <v>0</v>
      </c>
      <c r="BL622">
        <v>0</v>
      </c>
      <c r="BM622">
        <v>0</v>
      </c>
      <c r="BN622">
        <v>890.4</v>
      </c>
      <c r="BO622">
        <v>142.47</v>
      </c>
      <c r="BP622">
        <v>35.61</v>
      </c>
      <c r="BQ622">
        <f t="shared" si="9"/>
        <v>997.25999999999988</v>
      </c>
      <c r="BR622" t="s">
        <v>242</v>
      </c>
    </row>
    <row r="623" spans="1:70">
      <c r="A623" t="s">
        <v>2738</v>
      </c>
      <c r="B623" t="s">
        <v>2739</v>
      </c>
      <c r="C623" t="s">
        <v>71</v>
      </c>
      <c r="D623" t="s">
        <v>289</v>
      </c>
      <c r="E623" t="s">
        <v>73</v>
      </c>
      <c r="F623" t="s">
        <v>74</v>
      </c>
      <c r="G623">
        <v>241917</v>
      </c>
      <c r="H623" t="s">
        <v>74</v>
      </c>
      <c r="I623" t="s">
        <v>75</v>
      </c>
      <c r="J623" t="s">
        <v>74</v>
      </c>
      <c r="K623" t="s">
        <v>2740</v>
      </c>
      <c r="L623" t="s">
        <v>77</v>
      </c>
      <c r="M623" t="s">
        <v>78</v>
      </c>
      <c r="N623" t="s">
        <v>337</v>
      </c>
      <c r="O623" t="s">
        <v>1159</v>
      </c>
      <c r="P623" t="s">
        <v>2732</v>
      </c>
      <c r="X623">
        <v>19</v>
      </c>
      <c r="AF623" t="s">
        <v>569</v>
      </c>
      <c r="AG623" t="s">
        <v>296</v>
      </c>
      <c r="AH623" t="s">
        <v>569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2.85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877.61</v>
      </c>
      <c r="BE623">
        <v>0</v>
      </c>
      <c r="BF623">
        <v>760</v>
      </c>
      <c r="BG623">
        <v>0</v>
      </c>
      <c r="BH623">
        <v>0</v>
      </c>
      <c r="BI623">
        <v>152</v>
      </c>
      <c r="BJ623">
        <v>0</v>
      </c>
      <c r="BK623">
        <v>0</v>
      </c>
      <c r="BL623">
        <v>0</v>
      </c>
      <c r="BM623">
        <v>0</v>
      </c>
      <c r="BN623">
        <v>1792.46</v>
      </c>
      <c r="BO623">
        <v>286.8</v>
      </c>
      <c r="BP623">
        <v>71.69</v>
      </c>
      <c r="BQ623">
        <f t="shared" si="9"/>
        <v>2007.5700000000002</v>
      </c>
      <c r="BR623" t="s">
        <v>337</v>
      </c>
    </row>
    <row r="624" spans="1:70">
      <c r="A624" t="s">
        <v>2741</v>
      </c>
      <c r="B624" t="s">
        <v>2742</v>
      </c>
      <c r="C624" t="s">
        <v>71</v>
      </c>
      <c r="D624" t="s">
        <v>289</v>
      </c>
      <c r="E624" t="s">
        <v>73</v>
      </c>
      <c r="F624" t="s">
        <v>74</v>
      </c>
      <c r="G624">
        <v>242015</v>
      </c>
      <c r="H624" t="s">
        <v>74</v>
      </c>
      <c r="I624" t="s">
        <v>75</v>
      </c>
      <c r="K624" t="s">
        <v>2743</v>
      </c>
      <c r="L624" t="s">
        <v>77</v>
      </c>
      <c r="M624" t="s">
        <v>78</v>
      </c>
      <c r="N624" t="s">
        <v>1337</v>
      </c>
      <c r="O624" t="s">
        <v>1714</v>
      </c>
      <c r="P624" t="s">
        <v>2732</v>
      </c>
      <c r="X624">
        <v>12</v>
      </c>
      <c r="AF624" t="s">
        <v>379</v>
      </c>
      <c r="AG624" t="s">
        <v>296</v>
      </c>
      <c r="AH624" t="s">
        <v>379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1.8</v>
      </c>
      <c r="AT624">
        <v>0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554.28</v>
      </c>
      <c r="BE624">
        <v>0</v>
      </c>
      <c r="BF624">
        <v>480</v>
      </c>
      <c r="BG624">
        <v>0</v>
      </c>
      <c r="BH624">
        <v>0</v>
      </c>
      <c r="BI624">
        <v>96</v>
      </c>
      <c r="BJ624">
        <v>0</v>
      </c>
      <c r="BK624">
        <v>0</v>
      </c>
      <c r="BL624">
        <v>0</v>
      </c>
      <c r="BM624">
        <v>0</v>
      </c>
      <c r="BN624">
        <v>1132.08</v>
      </c>
      <c r="BO624">
        <v>181.13</v>
      </c>
      <c r="BP624">
        <v>45.28</v>
      </c>
      <c r="BQ624">
        <f t="shared" si="9"/>
        <v>1267.93</v>
      </c>
      <c r="BR624" t="s">
        <v>1339</v>
      </c>
    </row>
    <row r="625" spans="1:70">
      <c r="A625" t="s">
        <v>2744</v>
      </c>
      <c r="B625" t="s">
        <v>2745</v>
      </c>
      <c r="C625" t="s">
        <v>71</v>
      </c>
      <c r="D625" t="s">
        <v>289</v>
      </c>
      <c r="E625" t="s">
        <v>73</v>
      </c>
      <c r="F625" t="s">
        <v>74</v>
      </c>
      <c r="G625">
        <v>241900</v>
      </c>
      <c r="H625" t="s">
        <v>74</v>
      </c>
      <c r="I625" t="s">
        <v>75</v>
      </c>
      <c r="K625" t="s">
        <v>2746</v>
      </c>
      <c r="L625" t="s">
        <v>77</v>
      </c>
      <c r="M625" t="s">
        <v>78</v>
      </c>
      <c r="N625" t="s">
        <v>307</v>
      </c>
      <c r="O625" t="s">
        <v>537</v>
      </c>
      <c r="P625" t="s">
        <v>2732</v>
      </c>
      <c r="X625">
        <v>11</v>
      </c>
      <c r="AF625" t="s">
        <v>470</v>
      </c>
      <c r="AG625" t="s">
        <v>296</v>
      </c>
      <c r="AH625" t="s">
        <v>470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1.65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169.95</v>
      </c>
      <c r="BE625">
        <v>0</v>
      </c>
      <c r="BF625">
        <v>440</v>
      </c>
      <c r="BG625">
        <v>0</v>
      </c>
      <c r="BH625">
        <v>0</v>
      </c>
      <c r="BI625">
        <v>88</v>
      </c>
      <c r="BJ625">
        <v>0</v>
      </c>
      <c r="BK625">
        <v>0</v>
      </c>
      <c r="BL625">
        <v>0</v>
      </c>
      <c r="BM625">
        <v>0</v>
      </c>
      <c r="BN625">
        <v>699.6</v>
      </c>
      <c r="BO625">
        <v>111.93</v>
      </c>
      <c r="BP625">
        <v>27.99</v>
      </c>
      <c r="BQ625">
        <f t="shared" si="9"/>
        <v>783.54</v>
      </c>
      <c r="BR625" t="s">
        <v>294</v>
      </c>
    </row>
    <row r="626" spans="1:70">
      <c r="A626" t="s">
        <v>2747</v>
      </c>
      <c r="B626" t="s">
        <v>2748</v>
      </c>
      <c r="C626" t="s">
        <v>71</v>
      </c>
      <c r="D626" t="s">
        <v>289</v>
      </c>
      <c r="E626" t="s">
        <v>73</v>
      </c>
      <c r="F626" t="s">
        <v>74</v>
      </c>
      <c r="G626">
        <v>241899</v>
      </c>
      <c r="H626" t="s">
        <v>74</v>
      </c>
      <c r="I626" t="s">
        <v>75</v>
      </c>
      <c r="J626" t="s">
        <v>74</v>
      </c>
      <c r="K626" t="s">
        <v>2749</v>
      </c>
      <c r="L626" t="s">
        <v>77</v>
      </c>
      <c r="M626" t="s">
        <v>78</v>
      </c>
      <c r="N626" t="s">
        <v>913</v>
      </c>
      <c r="O626" t="s">
        <v>914</v>
      </c>
      <c r="P626" t="s">
        <v>2732</v>
      </c>
      <c r="X626">
        <v>18</v>
      </c>
      <c r="AF626" t="s">
        <v>395</v>
      </c>
      <c r="AG626" t="s">
        <v>296</v>
      </c>
      <c r="AH626" t="s">
        <v>395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2.7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278.10000000000002</v>
      </c>
      <c r="BE626">
        <v>0</v>
      </c>
      <c r="BF626">
        <v>720</v>
      </c>
      <c r="BG626">
        <v>0</v>
      </c>
      <c r="BH626">
        <v>0</v>
      </c>
      <c r="BI626">
        <v>144</v>
      </c>
      <c r="BJ626">
        <v>0</v>
      </c>
      <c r="BK626">
        <v>0</v>
      </c>
      <c r="BL626">
        <v>0</v>
      </c>
      <c r="BM626">
        <v>0</v>
      </c>
      <c r="BN626">
        <v>1144.8</v>
      </c>
      <c r="BO626">
        <v>183.17</v>
      </c>
      <c r="BP626">
        <v>45.79</v>
      </c>
      <c r="BQ626">
        <f t="shared" si="9"/>
        <v>1282.18</v>
      </c>
      <c r="BR626" t="s">
        <v>915</v>
      </c>
    </row>
    <row r="627" spans="1:70">
      <c r="A627" t="s">
        <v>2750</v>
      </c>
      <c r="B627" t="s">
        <v>2751</v>
      </c>
      <c r="C627" t="s">
        <v>71</v>
      </c>
      <c r="D627" t="s">
        <v>289</v>
      </c>
      <c r="E627" t="s">
        <v>73</v>
      </c>
      <c r="F627" t="s">
        <v>74</v>
      </c>
      <c r="G627">
        <v>241898</v>
      </c>
      <c r="H627" t="s">
        <v>74</v>
      </c>
      <c r="I627" t="s">
        <v>75</v>
      </c>
      <c r="J627" t="s">
        <v>74</v>
      </c>
      <c r="K627" t="s">
        <v>2752</v>
      </c>
      <c r="L627" t="s">
        <v>77</v>
      </c>
      <c r="M627" t="s">
        <v>78</v>
      </c>
      <c r="N627" t="s">
        <v>519</v>
      </c>
      <c r="O627" t="s">
        <v>533</v>
      </c>
      <c r="P627" t="s">
        <v>2732</v>
      </c>
      <c r="X627">
        <v>10</v>
      </c>
      <c r="AF627" t="s">
        <v>372</v>
      </c>
      <c r="AG627" t="s">
        <v>296</v>
      </c>
      <c r="AH627" t="s">
        <v>372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1.5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154.5</v>
      </c>
      <c r="BE627">
        <v>0</v>
      </c>
      <c r="BF627">
        <v>400</v>
      </c>
      <c r="BG627">
        <v>0</v>
      </c>
      <c r="BH627">
        <v>0</v>
      </c>
      <c r="BI627">
        <v>80</v>
      </c>
      <c r="BJ627">
        <v>0</v>
      </c>
      <c r="BK627">
        <v>0</v>
      </c>
      <c r="BL627">
        <v>0</v>
      </c>
      <c r="BM627">
        <v>0</v>
      </c>
      <c r="BN627">
        <v>636</v>
      </c>
      <c r="BO627">
        <v>101.76</v>
      </c>
      <c r="BP627">
        <v>25.44</v>
      </c>
      <c r="BQ627">
        <f t="shared" si="9"/>
        <v>712.31999999999994</v>
      </c>
      <c r="BR627" t="s">
        <v>119</v>
      </c>
    </row>
    <row r="628" spans="1:70">
      <c r="A628" t="s">
        <v>2753</v>
      </c>
      <c r="B628" t="s">
        <v>2754</v>
      </c>
      <c r="C628" t="s">
        <v>71</v>
      </c>
      <c r="D628" t="s">
        <v>289</v>
      </c>
      <c r="E628" t="s">
        <v>73</v>
      </c>
      <c r="F628" t="s">
        <v>74</v>
      </c>
      <c r="G628">
        <v>241895</v>
      </c>
      <c r="H628" t="s">
        <v>74</v>
      </c>
      <c r="I628" t="s">
        <v>75</v>
      </c>
      <c r="J628" t="s">
        <v>74</v>
      </c>
      <c r="K628" t="s">
        <v>2755</v>
      </c>
      <c r="L628" t="s">
        <v>77</v>
      </c>
      <c r="M628" t="s">
        <v>78</v>
      </c>
      <c r="N628" t="s">
        <v>468</v>
      </c>
      <c r="O628" t="s">
        <v>469</v>
      </c>
      <c r="P628" t="s">
        <v>2732</v>
      </c>
      <c r="X628">
        <v>10</v>
      </c>
      <c r="AF628" t="s">
        <v>372</v>
      </c>
      <c r="AG628" t="s">
        <v>296</v>
      </c>
      <c r="AH628" t="s">
        <v>372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1.5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461.9</v>
      </c>
      <c r="BE628">
        <v>0</v>
      </c>
      <c r="BF628">
        <v>400</v>
      </c>
      <c r="BG628">
        <v>0</v>
      </c>
      <c r="BH628">
        <v>0</v>
      </c>
      <c r="BI628">
        <v>80</v>
      </c>
      <c r="BJ628">
        <v>0</v>
      </c>
      <c r="BK628">
        <v>0</v>
      </c>
      <c r="BL628">
        <v>0</v>
      </c>
      <c r="BM628">
        <v>0</v>
      </c>
      <c r="BN628">
        <v>943.4</v>
      </c>
      <c r="BO628">
        <v>150.94</v>
      </c>
      <c r="BP628">
        <v>37.74</v>
      </c>
      <c r="BQ628">
        <f t="shared" si="9"/>
        <v>1056.5999999999999</v>
      </c>
      <c r="BR628" t="s">
        <v>141</v>
      </c>
    </row>
    <row r="629" spans="1:70">
      <c r="A629" t="s">
        <v>2756</v>
      </c>
      <c r="B629" t="s">
        <v>2757</v>
      </c>
      <c r="C629" t="s">
        <v>71</v>
      </c>
      <c r="D629" t="s">
        <v>289</v>
      </c>
      <c r="E629" t="s">
        <v>73</v>
      </c>
      <c r="F629" t="s">
        <v>74</v>
      </c>
      <c r="G629">
        <v>241894</v>
      </c>
      <c r="H629" t="s">
        <v>74</v>
      </c>
      <c r="I629" t="s">
        <v>75</v>
      </c>
      <c r="J629" t="s">
        <v>74</v>
      </c>
      <c r="K629" t="s">
        <v>2758</v>
      </c>
      <c r="L629" t="s">
        <v>77</v>
      </c>
      <c r="M629" t="s">
        <v>78</v>
      </c>
      <c r="N629" t="s">
        <v>106</v>
      </c>
      <c r="O629" t="s">
        <v>564</v>
      </c>
      <c r="P629" t="s">
        <v>2732</v>
      </c>
      <c r="X629">
        <v>14</v>
      </c>
      <c r="AF629" t="s">
        <v>413</v>
      </c>
      <c r="AG629" t="s">
        <v>296</v>
      </c>
      <c r="AH629" t="s">
        <v>413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2.1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>
        <v>646.66</v>
      </c>
      <c r="BE629">
        <v>0</v>
      </c>
      <c r="BF629">
        <v>560</v>
      </c>
      <c r="BG629">
        <v>0</v>
      </c>
      <c r="BH629">
        <v>0</v>
      </c>
      <c r="BI629">
        <v>112</v>
      </c>
      <c r="BJ629">
        <v>0</v>
      </c>
      <c r="BK629">
        <v>0</v>
      </c>
      <c r="BL629">
        <v>0</v>
      </c>
      <c r="BM629">
        <v>0</v>
      </c>
      <c r="BN629">
        <v>1320.76</v>
      </c>
      <c r="BO629">
        <v>211.33</v>
      </c>
      <c r="BP629">
        <v>52.83</v>
      </c>
      <c r="BQ629">
        <f t="shared" si="9"/>
        <v>1479.26</v>
      </c>
      <c r="BR629" t="s">
        <v>106</v>
      </c>
    </row>
    <row r="630" spans="1:70">
      <c r="A630" t="s">
        <v>2759</v>
      </c>
      <c r="B630" t="s">
        <v>2760</v>
      </c>
      <c r="C630" t="s">
        <v>71</v>
      </c>
      <c r="D630" t="s">
        <v>289</v>
      </c>
      <c r="E630" t="s">
        <v>73</v>
      </c>
      <c r="F630" t="s">
        <v>74</v>
      </c>
      <c r="G630">
        <v>241893</v>
      </c>
      <c r="H630" t="s">
        <v>74</v>
      </c>
      <c r="I630" t="s">
        <v>75</v>
      </c>
      <c r="J630" t="s">
        <v>74</v>
      </c>
      <c r="K630" t="s">
        <v>2761</v>
      </c>
      <c r="L630" t="s">
        <v>77</v>
      </c>
      <c r="M630" t="s">
        <v>78</v>
      </c>
      <c r="N630" t="s">
        <v>92</v>
      </c>
      <c r="O630" t="s">
        <v>2762</v>
      </c>
      <c r="P630" t="s">
        <v>2732</v>
      </c>
      <c r="X630">
        <v>10</v>
      </c>
      <c r="AF630" t="s">
        <v>372</v>
      </c>
      <c r="AG630" t="s">
        <v>296</v>
      </c>
      <c r="AH630" t="s">
        <v>372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1.5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0</v>
      </c>
      <c r="BD630">
        <v>154.5</v>
      </c>
      <c r="BE630">
        <v>0</v>
      </c>
      <c r="BF630">
        <v>400</v>
      </c>
      <c r="BG630">
        <v>0</v>
      </c>
      <c r="BH630">
        <v>0</v>
      </c>
      <c r="BI630">
        <v>80</v>
      </c>
      <c r="BJ630">
        <v>0</v>
      </c>
      <c r="BK630">
        <v>0</v>
      </c>
      <c r="BL630">
        <v>0</v>
      </c>
      <c r="BM630">
        <v>0</v>
      </c>
      <c r="BN630">
        <v>636</v>
      </c>
      <c r="BO630">
        <v>101.76</v>
      </c>
      <c r="BP630">
        <v>25.44</v>
      </c>
      <c r="BQ630">
        <f t="shared" si="9"/>
        <v>712.31999999999994</v>
      </c>
      <c r="BR630" t="s">
        <v>371</v>
      </c>
    </row>
    <row r="631" spans="1:70">
      <c r="A631" t="s">
        <v>2763</v>
      </c>
      <c r="B631" t="s">
        <v>2764</v>
      </c>
      <c r="C631" t="s">
        <v>71</v>
      </c>
      <c r="D631" t="s">
        <v>289</v>
      </c>
      <c r="E631" t="s">
        <v>73</v>
      </c>
      <c r="F631" t="s">
        <v>74</v>
      </c>
      <c r="G631">
        <v>241855</v>
      </c>
      <c r="H631" t="s">
        <v>74</v>
      </c>
      <c r="I631" t="s">
        <v>75</v>
      </c>
      <c r="J631" t="s">
        <v>74</v>
      </c>
      <c r="K631" t="s">
        <v>2765</v>
      </c>
      <c r="L631" t="s">
        <v>77</v>
      </c>
      <c r="M631" t="s">
        <v>78</v>
      </c>
      <c r="N631" t="s">
        <v>406</v>
      </c>
      <c r="O631" t="s">
        <v>1279</v>
      </c>
      <c r="P631" t="s">
        <v>2732</v>
      </c>
      <c r="X631">
        <v>13</v>
      </c>
      <c r="AF631" t="s">
        <v>434</v>
      </c>
      <c r="AG631" t="s">
        <v>296</v>
      </c>
      <c r="AH631" t="s">
        <v>434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1.95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200.85</v>
      </c>
      <c r="BE631">
        <v>0</v>
      </c>
      <c r="BF631">
        <v>520</v>
      </c>
      <c r="BG631">
        <v>0</v>
      </c>
      <c r="BH631">
        <v>0</v>
      </c>
      <c r="BI631">
        <v>104</v>
      </c>
      <c r="BJ631">
        <v>0</v>
      </c>
      <c r="BK631">
        <v>0</v>
      </c>
      <c r="BL631">
        <v>0</v>
      </c>
      <c r="BM631">
        <v>0</v>
      </c>
      <c r="BN631">
        <v>826.8</v>
      </c>
      <c r="BO631">
        <v>132.29</v>
      </c>
      <c r="BP631">
        <v>33.07</v>
      </c>
      <c r="BQ631">
        <f t="shared" si="9"/>
        <v>926.01999999999987</v>
      </c>
      <c r="BR631" t="s">
        <v>406</v>
      </c>
    </row>
    <row r="632" spans="1:70">
      <c r="A632" t="s">
        <v>2766</v>
      </c>
      <c r="B632" t="s">
        <v>2767</v>
      </c>
      <c r="C632" t="s">
        <v>71</v>
      </c>
      <c r="D632" t="s">
        <v>289</v>
      </c>
      <c r="E632" t="s">
        <v>73</v>
      </c>
      <c r="F632" t="s">
        <v>74</v>
      </c>
      <c r="G632">
        <v>241909</v>
      </c>
      <c r="H632" t="s">
        <v>74</v>
      </c>
      <c r="I632" t="s">
        <v>75</v>
      </c>
      <c r="J632" t="s">
        <v>74</v>
      </c>
      <c r="K632" t="s">
        <v>2768</v>
      </c>
      <c r="L632" t="s">
        <v>77</v>
      </c>
      <c r="M632" t="s">
        <v>78</v>
      </c>
      <c r="N632" t="s">
        <v>880</v>
      </c>
      <c r="O632" t="s">
        <v>1034</v>
      </c>
      <c r="P632" t="s">
        <v>2732</v>
      </c>
      <c r="X632">
        <v>21</v>
      </c>
      <c r="AF632" t="s">
        <v>684</v>
      </c>
      <c r="AG632" t="s">
        <v>296</v>
      </c>
      <c r="AH632" t="s">
        <v>684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3.15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969.99</v>
      </c>
      <c r="BE632">
        <v>0</v>
      </c>
      <c r="BF632">
        <v>840</v>
      </c>
      <c r="BG632">
        <v>0</v>
      </c>
      <c r="BH632">
        <v>0</v>
      </c>
      <c r="BI632">
        <v>168</v>
      </c>
      <c r="BJ632">
        <v>0</v>
      </c>
      <c r="BK632">
        <v>0</v>
      </c>
      <c r="BL632">
        <v>0</v>
      </c>
      <c r="BM632">
        <v>0</v>
      </c>
      <c r="BN632">
        <v>1981.14</v>
      </c>
      <c r="BO632">
        <v>316.98</v>
      </c>
      <c r="BP632">
        <v>79.25</v>
      </c>
      <c r="BQ632">
        <f t="shared" si="9"/>
        <v>2218.87</v>
      </c>
      <c r="BR632" t="s">
        <v>880</v>
      </c>
    </row>
    <row r="633" spans="1:70">
      <c r="A633" t="s">
        <v>2769</v>
      </c>
      <c r="B633" t="s">
        <v>2770</v>
      </c>
      <c r="C633" t="s">
        <v>71</v>
      </c>
      <c r="D633" t="s">
        <v>289</v>
      </c>
      <c r="E633" t="s">
        <v>73</v>
      </c>
      <c r="F633" t="s">
        <v>74</v>
      </c>
      <c r="G633">
        <v>241908</v>
      </c>
      <c r="H633" t="s">
        <v>74</v>
      </c>
      <c r="I633" t="s">
        <v>75</v>
      </c>
      <c r="J633" t="s">
        <v>74</v>
      </c>
      <c r="K633" t="s">
        <v>2771</v>
      </c>
      <c r="L633" t="s">
        <v>77</v>
      </c>
      <c r="M633" t="s">
        <v>78</v>
      </c>
      <c r="N633" t="s">
        <v>343</v>
      </c>
      <c r="O633" t="s">
        <v>1209</v>
      </c>
      <c r="P633" t="s">
        <v>2732</v>
      </c>
      <c r="X633">
        <v>25</v>
      </c>
      <c r="AF633" t="s">
        <v>717</v>
      </c>
      <c r="AG633" t="s">
        <v>296</v>
      </c>
      <c r="AH633" t="s">
        <v>717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3.75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386.25</v>
      </c>
      <c r="BE633">
        <v>0</v>
      </c>
      <c r="BF633">
        <v>1000</v>
      </c>
      <c r="BG633">
        <v>0</v>
      </c>
      <c r="BH633">
        <v>0</v>
      </c>
      <c r="BI633">
        <v>200</v>
      </c>
      <c r="BJ633">
        <v>0</v>
      </c>
      <c r="BK633">
        <v>0</v>
      </c>
      <c r="BL633">
        <v>0</v>
      </c>
      <c r="BM633">
        <v>0</v>
      </c>
      <c r="BN633">
        <v>1590</v>
      </c>
      <c r="BO633">
        <v>254.4</v>
      </c>
      <c r="BP633">
        <v>63.6</v>
      </c>
      <c r="BQ633">
        <f t="shared" si="9"/>
        <v>1780.8000000000002</v>
      </c>
      <c r="BR633" t="s">
        <v>343</v>
      </c>
    </row>
    <row r="634" spans="1:70">
      <c r="A634" t="s">
        <v>2772</v>
      </c>
      <c r="B634" t="s">
        <v>2773</v>
      </c>
      <c r="C634" t="s">
        <v>71</v>
      </c>
      <c r="D634" t="s">
        <v>289</v>
      </c>
      <c r="E634" t="s">
        <v>73</v>
      </c>
      <c r="F634" t="s">
        <v>74</v>
      </c>
      <c r="G634">
        <v>241907</v>
      </c>
      <c r="H634" t="s">
        <v>74</v>
      </c>
      <c r="I634" t="s">
        <v>75</v>
      </c>
      <c r="J634" t="s">
        <v>74</v>
      </c>
      <c r="K634" t="s">
        <v>2774</v>
      </c>
      <c r="L634" t="s">
        <v>77</v>
      </c>
      <c r="M634" t="s">
        <v>78</v>
      </c>
      <c r="N634" t="s">
        <v>438</v>
      </c>
      <c r="O634" t="s">
        <v>643</v>
      </c>
      <c r="P634" t="s">
        <v>2732</v>
      </c>
      <c r="X634">
        <v>10</v>
      </c>
      <c r="AF634" t="s">
        <v>372</v>
      </c>
      <c r="AG634" t="s">
        <v>296</v>
      </c>
      <c r="AH634" t="s">
        <v>372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1.5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154.5</v>
      </c>
      <c r="BE634">
        <v>0</v>
      </c>
      <c r="BF634">
        <v>400</v>
      </c>
      <c r="BG634">
        <v>0</v>
      </c>
      <c r="BH634">
        <v>0</v>
      </c>
      <c r="BI634">
        <v>80</v>
      </c>
      <c r="BJ634">
        <v>0</v>
      </c>
      <c r="BK634">
        <v>0</v>
      </c>
      <c r="BL634">
        <v>0</v>
      </c>
      <c r="BM634">
        <v>0</v>
      </c>
      <c r="BN634">
        <v>636</v>
      </c>
      <c r="BO634">
        <v>101.76</v>
      </c>
      <c r="BP634">
        <v>25.44</v>
      </c>
      <c r="BQ634">
        <f t="shared" si="9"/>
        <v>712.31999999999994</v>
      </c>
      <c r="BR634" t="s">
        <v>440</v>
      </c>
    </row>
    <row r="635" spans="1:70">
      <c r="A635" t="s">
        <v>2775</v>
      </c>
      <c r="B635" t="s">
        <v>2776</v>
      </c>
      <c r="C635" t="s">
        <v>71</v>
      </c>
      <c r="D635" t="s">
        <v>289</v>
      </c>
      <c r="E635" t="s">
        <v>73</v>
      </c>
      <c r="F635" t="s">
        <v>74</v>
      </c>
      <c r="G635">
        <v>241905</v>
      </c>
      <c r="H635" t="s">
        <v>74</v>
      </c>
      <c r="I635" t="s">
        <v>75</v>
      </c>
      <c r="J635" t="s">
        <v>74</v>
      </c>
      <c r="K635" t="s">
        <v>2777</v>
      </c>
      <c r="L635" t="s">
        <v>77</v>
      </c>
      <c r="M635" t="s">
        <v>78</v>
      </c>
      <c r="N635" t="s">
        <v>191</v>
      </c>
      <c r="O635" t="s">
        <v>1014</v>
      </c>
      <c r="P635" t="s">
        <v>2732</v>
      </c>
      <c r="X635">
        <v>12</v>
      </c>
      <c r="AF635" t="s">
        <v>379</v>
      </c>
      <c r="AG635" t="s">
        <v>296</v>
      </c>
      <c r="AH635" t="s">
        <v>379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1.8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554.28</v>
      </c>
      <c r="BE635">
        <v>0</v>
      </c>
      <c r="BF635">
        <v>480</v>
      </c>
      <c r="BG635">
        <v>0</v>
      </c>
      <c r="BH635">
        <v>0</v>
      </c>
      <c r="BI635">
        <v>96</v>
      </c>
      <c r="BJ635">
        <v>0</v>
      </c>
      <c r="BK635">
        <v>0</v>
      </c>
      <c r="BL635">
        <v>0</v>
      </c>
      <c r="BM635">
        <v>0</v>
      </c>
      <c r="BN635">
        <v>1132.08</v>
      </c>
      <c r="BO635">
        <v>181.13</v>
      </c>
      <c r="BP635">
        <v>45.28</v>
      </c>
      <c r="BQ635">
        <f t="shared" si="9"/>
        <v>1267.93</v>
      </c>
      <c r="BR635" t="s">
        <v>195</v>
      </c>
    </row>
    <row r="636" spans="1:70">
      <c r="A636" t="s">
        <v>2778</v>
      </c>
      <c r="B636" t="s">
        <v>2779</v>
      </c>
      <c r="C636" t="s">
        <v>71</v>
      </c>
      <c r="D636" t="s">
        <v>289</v>
      </c>
      <c r="E636" t="s">
        <v>73</v>
      </c>
      <c r="F636" t="s">
        <v>74</v>
      </c>
      <c r="G636">
        <v>241904</v>
      </c>
      <c r="H636" t="s">
        <v>74</v>
      </c>
      <c r="I636" t="s">
        <v>75</v>
      </c>
      <c r="J636" t="s">
        <v>74</v>
      </c>
      <c r="K636" t="s">
        <v>2780</v>
      </c>
      <c r="L636" t="s">
        <v>77</v>
      </c>
      <c r="M636" t="s">
        <v>78</v>
      </c>
      <c r="N636" t="s">
        <v>519</v>
      </c>
      <c r="O636" t="s">
        <v>520</v>
      </c>
      <c r="P636" t="s">
        <v>2732</v>
      </c>
      <c r="X636">
        <v>12</v>
      </c>
      <c r="AF636" t="s">
        <v>379</v>
      </c>
      <c r="AG636" t="s">
        <v>296</v>
      </c>
      <c r="AH636" t="s">
        <v>379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1.8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185.4</v>
      </c>
      <c r="BE636">
        <v>0</v>
      </c>
      <c r="BF636">
        <v>480</v>
      </c>
      <c r="BG636">
        <v>0</v>
      </c>
      <c r="BH636">
        <v>0</v>
      </c>
      <c r="BI636">
        <v>96</v>
      </c>
      <c r="BJ636">
        <v>0</v>
      </c>
      <c r="BK636">
        <v>0</v>
      </c>
      <c r="BL636">
        <v>0</v>
      </c>
      <c r="BM636">
        <v>0</v>
      </c>
      <c r="BN636">
        <v>763.2</v>
      </c>
      <c r="BO636">
        <v>122.11</v>
      </c>
      <c r="BP636">
        <v>30.53</v>
      </c>
      <c r="BQ636">
        <f t="shared" si="9"/>
        <v>854.78000000000009</v>
      </c>
      <c r="BR636" t="s">
        <v>119</v>
      </c>
    </row>
    <row r="637" spans="1:70">
      <c r="A637" t="s">
        <v>2781</v>
      </c>
      <c r="B637" t="s">
        <v>2782</v>
      </c>
      <c r="C637" t="s">
        <v>71</v>
      </c>
      <c r="D637" t="s">
        <v>289</v>
      </c>
      <c r="E637" t="s">
        <v>73</v>
      </c>
      <c r="F637" t="s">
        <v>74</v>
      </c>
      <c r="G637">
        <v>241902</v>
      </c>
      <c r="H637" t="s">
        <v>74</v>
      </c>
      <c r="I637" t="s">
        <v>75</v>
      </c>
      <c r="J637" t="s">
        <v>74</v>
      </c>
      <c r="K637" t="s">
        <v>2783</v>
      </c>
      <c r="L637" t="s">
        <v>77</v>
      </c>
      <c r="M637" t="s">
        <v>78</v>
      </c>
      <c r="N637" t="s">
        <v>358</v>
      </c>
      <c r="O637" t="s">
        <v>2784</v>
      </c>
      <c r="P637" t="s">
        <v>2732</v>
      </c>
      <c r="X637">
        <v>18</v>
      </c>
      <c r="AF637" t="s">
        <v>395</v>
      </c>
      <c r="AG637" t="s">
        <v>296</v>
      </c>
      <c r="AH637" t="s">
        <v>395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2.7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831.42</v>
      </c>
      <c r="BE637">
        <v>0</v>
      </c>
      <c r="BF637">
        <v>720</v>
      </c>
      <c r="BG637">
        <v>0</v>
      </c>
      <c r="BH637">
        <v>0</v>
      </c>
      <c r="BI637">
        <v>144</v>
      </c>
      <c r="BJ637">
        <v>0</v>
      </c>
      <c r="BK637">
        <v>0</v>
      </c>
      <c r="BL637">
        <v>0</v>
      </c>
      <c r="BM637">
        <v>0</v>
      </c>
      <c r="BN637">
        <v>1698.12</v>
      </c>
      <c r="BO637">
        <v>271.7</v>
      </c>
      <c r="BP637">
        <v>67.930000000000007</v>
      </c>
      <c r="BQ637">
        <f t="shared" si="9"/>
        <v>1901.8899999999999</v>
      </c>
      <c r="BR637" t="s">
        <v>358</v>
      </c>
    </row>
    <row r="638" spans="1:70">
      <c r="A638" t="s">
        <v>2785</v>
      </c>
      <c r="B638" t="s">
        <v>2786</v>
      </c>
      <c r="C638" t="s">
        <v>71</v>
      </c>
      <c r="D638" t="s">
        <v>289</v>
      </c>
      <c r="E638" t="s">
        <v>73</v>
      </c>
      <c r="F638" t="s">
        <v>74</v>
      </c>
      <c r="G638">
        <v>241901</v>
      </c>
      <c r="H638" t="s">
        <v>74</v>
      </c>
      <c r="I638" t="s">
        <v>75</v>
      </c>
      <c r="J638" t="s">
        <v>74</v>
      </c>
      <c r="K638" t="s">
        <v>2787</v>
      </c>
      <c r="L638" t="s">
        <v>77</v>
      </c>
      <c r="M638" t="s">
        <v>78</v>
      </c>
      <c r="N638" t="s">
        <v>83</v>
      </c>
      <c r="O638" t="s">
        <v>266</v>
      </c>
      <c r="P638" t="s">
        <v>2732</v>
      </c>
      <c r="X638">
        <v>14</v>
      </c>
      <c r="AF638" t="s">
        <v>413</v>
      </c>
      <c r="AG638" t="s">
        <v>296</v>
      </c>
      <c r="AH638" t="s">
        <v>413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2.1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216.3</v>
      </c>
      <c r="BE638">
        <v>0</v>
      </c>
      <c r="BF638">
        <v>560</v>
      </c>
      <c r="BG638">
        <v>0</v>
      </c>
      <c r="BH638">
        <v>0</v>
      </c>
      <c r="BI638">
        <v>112</v>
      </c>
      <c r="BJ638">
        <v>0</v>
      </c>
      <c r="BK638">
        <v>0</v>
      </c>
      <c r="BL638">
        <v>0</v>
      </c>
      <c r="BM638">
        <v>0</v>
      </c>
      <c r="BN638">
        <v>890.4</v>
      </c>
      <c r="BO638">
        <v>142.47</v>
      </c>
      <c r="BP638">
        <v>35.61</v>
      </c>
      <c r="BQ638">
        <f t="shared" si="9"/>
        <v>997.25999999999988</v>
      </c>
      <c r="BR638" t="s">
        <v>83</v>
      </c>
    </row>
    <row r="639" spans="1:70">
      <c r="A639" t="s">
        <v>2788</v>
      </c>
      <c r="B639" t="s">
        <v>2789</v>
      </c>
      <c r="C639" t="s">
        <v>71</v>
      </c>
      <c r="D639" t="s">
        <v>289</v>
      </c>
      <c r="E639" t="s">
        <v>73</v>
      </c>
      <c r="F639" t="s">
        <v>74</v>
      </c>
      <c r="G639">
        <v>241914</v>
      </c>
      <c r="H639" t="s">
        <v>74</v>
      </c>
      <c r="I639" t="s">
        <v>75</v>
      </c>
      <c r="J639" t="s">
        <v>74</v>
      </c>
      <c r="K639" t="s">
        <v>2790</v>
      </c>
      <c r="L639" t="s">
        <v>77</v>
      </c>
      <c r="M639" t="s">
        <v>78</v>
      </c>
      <c r="N639" t="s">
        <v>924</v>
      </c>
      <c r="O639" t="s">
        <v>2380</v>
      </c>
      <c r="P639" t="s">
        <v>2732</v>
      </c>
      <c r="X639">
        <v>23</v>
      </c>
      <c r="AF639" t="s">
        <v>428</v>
      </c>
      <c r="AG639" t="s">
        <v>296</v>
      </c>
      <c r="AH639" t="s">
        <v>428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3.45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355.35</v>
      </c>
      <c r="BE639">
        <v>0</v>
      </c>
      <c r="BF639">
        <v>920</v>
      </c>
      <c r="BG639">
        <v>0</v>
      </c>
      <c r="BH639">
        <v>0</v>
      </c>
      <c r="BI639">
        <v>184</v>
      </c>
      <c r="BJ639">
        <v>0</v>
      </c>
      <c r="BK639">
        <v>0</v>
      </c>
      <c r="BL639">
        <v>0</v>
      </c>
      <c r="BM639">
        <v>0</v>
      </c>
      <c r="BN639">
        <v>1462.8</v>
      </c>
      <c r="BO639">
        <v>234.05</v>
      </c>
      <c r="BP639">
        <v>58.51</v>
      </c>
      <c r="BQ639">
        <f t="shared" si="9"/>
        <v>1638.34</v>
      </c>
      <c r="BR639" t="s">
        <v>757</v>
      </c>
    </row>
    <row r="640" spans="1:70">
      <c r="A640" t="s">
        <v>2791</v>
      </c>
      <c r="B640" t="s">
        <v>2792</v>
      </c>
      <c r="C640" t="s">
        <v>71</v>
      </c>
      <c r="D640" t="s">
        <v>289</v>
      </c>
      <c r="E640" t="s">
        <v>73</v>
      </c>
      <c r="F640" t="s">
        <v>74</v>
      </c>
      <c r="G640">
        <v>241915</v>
      </c>
      <c r="H640" t="s">
        <v>74</v>
      </c>
      <c r="I640" t="s">
        <v>75</v>
      </c>
      <c r="J640" t="s">
        <v>74</v>
      </c>
      <c r="K640" t="s">
        <v>2793</v>
      </c>
      <c r="L640" t="s">
        <v>77</v>
      </c>
      <c r="M640" t="s">
        <v>78</v>
      </c>
      <c r="N640" t="s">
        <v>438</v>
      </c>
      <c r="O640" t="s">
        <v>541</v>
      </c>
      <c r="P640" t="s">
        <v>2732</v>
      </c>
      <c r="X640">
        <v>19</v>
      </c>
      <c r="AF640" t="s">
        <v>569</v>
      </c>
      <c r="AG640" t="s">
        <v>296</v>
      </c>
      <c r="AH640" t="s">
        <v>569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2.85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293.55</v>
      </c>
      <c r="BE640">
        <v>0</v>
      </c>
      <c r="BF640">
        <v>760</v>
      </c>
      <c r="BG640">
        <v>0</v>
      </c>
      <c r="BH640">
        <v>0</v>
      </c>
      <c r="BI640">
        <v>152</v>
      </c>
      <c r="BJ640">
        <v>0</v>
      </c>
      <c r="BK640">
        <v>0</v>
      </c>
      <c r="BL640">
        <v>0</v>
      </c>
      <c r="BM640">
        <v>0</v>
      </c>
      <c r="BN640">
        <v>1208.4000000000001</v>
      </c>
      <c r="BO640">
        <v>193.35</v>
      </c>
      <c r="BP640">
        <v>48.33</v>
      </c>
      <c r="BQ640">
        <f t="shared" si="9"/>
        <v>1353.42</v>
      </c>
      <c r="BR640" t="s">
        <v>440</v>
      </c>
    </row>
    <row r="641" spans="1:70">
      <c r="A641" t="s">
        <v>2794</v>
      </c>
      <c r="B641" t="s">
        <v>2795</v>
      </c>
      <c r="C641" t="s">
        <v>71</v>
      </c>
      <c r="D641" t="s">
        <v>289</v>
      </c>
      <c r="E641" t="s">
        <v>73</v>
      </c>
      <c r="F641" t="s">
        <v>74</v>
      </c>
      <c r="G641">
        <v>242054</v>
      </c>
      <c r="H641" t="s">
        <v>74</v>
      </c>
      <c r="I641" t="s">
        <v>75</v>
      </c>
      <c r="J641" t="s">
        <v>74</v>
      </c>
      <c r="K641" t="s">
        <v>2796</v>
      </c>
      <c r="L641" t="s">
        <v>77</v>
      </c>
      <c r="M641" t="s">
        <v>78</v>
      </c>
      <c r="N641" t="s">
        <v>674</v>
      </c>
      <c r="O641" t="s">
        <v>969</v>
      </c>
      <c r="P641" t="s">
        <v>2732</v>
      </c>
      <c r="X641">
        <v>16</v>
      </c>
      <c r="AF641" t="s">
        <v>482</v>
      </c>
      <c r="AG641" t="s">
        <v>296</v>
      </c>
      <c r="AH641" t="s">
        <v>482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2.4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247.2</v>
      </c>
      <c r="BE641">
        <v>0</v>
      </c>
      <c r="BF641">
        <v>640</v>
      </c>
      <c r="BG641">
        <v>0</v>
      </c>
      <c r="BH641">
        <v>0</v>
      </c>
      <c r="BI641">
        <v>128</v>
      </c>
      <c r="BJ641">
        <v>0</v>
      </c>
      <c r="BK641">
        <v>0</v>
      </c>
      <c r="BL641">
        <v>0</v>
      </c>
      <c r="BM641">
        <v>0</v>
      </c>
      <c r="BN641">
        <v>1017.6</v>
      </c>
      <c r="BO641">
        <v>162.81</v>
      </c>
      <c r="BP641">
        <v>40.71</v>
      </c>
      <c r="BQ641">
        <f t="shared" si="9"/>
        <v>1139.7</v>
      </c>
      <c r="BR641" t="s">
        <v>674</v>
      </c>
    </row>
    <row r="642" spans="1:70">
      <c r="A642" t="s">
        <v>2797</v>
      </c>
      <c r="B642" t="s">
        <v>2798</v>
      </c>
      <c r="C642" t="s">
        <v>71</v>
      </c>
      <c r="D642" t="s">
        <v>289</v>
      </c>
      <c r="E642" t="s">
        <v>73</v>
      </c>
      <c r="F642" t="s">
        <v>74</v>
      </c>
      <c r="G642">
        <v>242056</v>
      </c>
      <c r="H642" t="s">
        <v>74</v>
      </c>
      <c r="I642" t="s">
        <v>75</v>
      </c>
      <c r="J642" t="s">
        <v>74</v>
      </c>
      <c r="K642" t="s">
        <v>2799</v>
      </c>
      <c r="L642" t="s">
        <v>77</v>
      </c>
      <c r="M642" t="s">
        <v>78</v>
      </c>
      <c r="N642" t="s">
        <v>649</v>
      </c>
      <c r="O642" t="s">
        <v>1163</v>
      </c>
      <c r="P642" t="s">
        <v>2732</v>
      </c>
      <c r="X642">
        <v>7</v>
      </c>
      <c r="AF642" t="s">
        <v>345</v>
      </c>
      <c r="AG642" t="s">
        <v>296</v>
      </c>
      <c r="AH642" t="s">
        <v>345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1.05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108.15</v>
      </c>
      <c r="BE642">
        <v>0</v>
      </c>
      <c r="BF642">
        <v>280</v>
      </c>
      <c r="BG642">
        <v>0</v>
      </c>
      <c r="BH642">
        <v>0</v>
      </c>
      <c r="BI642">
        <v>56</v>
      </c>
      <c r="BJ642">
        <v>0</v>
      </c>
      <c r="BK642">
        <v>0</v>
      </c>
      <c r="BL642">
        <v>0</v>
      </c>
      <c r="BM642">
        <v>0</v>
      </c>
      <c r="BN642">
        <v>445.2</v>
      </c>
      <c r="BO642">
        <v>71.23</v>
      </c>
      <c r="BP642">
        <v>17.809999999999999</v>
      </c>
      <c r="BQ642">
        <f t="shared" ref="BQ642:BQ705" si="10">(BN642+BO642-BP642)</f>
        <v>498.61999999999995</v>
      </c>
      <c r="BR642" t="s">
        <v>649</v>
      </c>
    </row>
    <row r="643" spans="1:70">
      <c r="A643" t="s">
        <v>2800</v>
      </c>
      <c r="B643" t="s">
        <v>2801</v>
      </c>
      <c r="C643" t="s">
        <v>71</v>
      </c>
      <c r="D643" t="s">
        <v>289</v>
      </c>
      <c r="E643" t="s">
        <v>73</v>
      </c>
      <c r="F643" t="s">
        <v>74</v>
      </c>
      <c r="G643" t="s">
        <v>2802</v>
      </c>
      <c r="H643" t="s">
        <v>74</v>
      </c>
      <c r="I643" t="s">
        <v>75</v>
      </c>
      <c r="J643" t="s">
        <v>74</v>
      </c>
      <c r="K643" t="s">
        <v>2803</v>
      </c>
      <c r="L643" t="s">
        <v>77</v>
      </c>
      <c r="M643" t="s">
        <v>78</v>
      </c>
      <c r="N643" t="s">
        <v>1337</v>
      </c>
      <c r="O643" t="s">
        <v>2804</v>
      </c>
      <c r="P643" t="s">
        <v>2732</v>
      </c>
      <c r="X643">
        <v>10</v>
      </c>
      <c r="AF643" t="s">
        <v>372</v>
      </c>
      <c r="AG643" t="s">
        <v>296</v>
      </c>
      <c r="AH643" t="s">
        <v>372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1.5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461.9</v>
      </c>
      <c r="BE643">
        <v>0</v>
      </c>
      <c r="BF643">
        <v>400</v>
      </c>
      <c r="BG643">
        <v>0</v>
      </c>
      <c r="BH643">
        <v>0</v>
      </c>
      <c r="BI643">
        <v>80</v>
      </c>
      <c r="BJ643">
        <v>0</v>
      </c>
      <c r="BK643">
        <v>0</v>
      </c>
      <c r="BL643">
        <v>0</v>
      </c>
      <c r="BM643">
        <v>0</v>
      </c>
      <c r="BN643">
        <v>943.4</v>
      </c>
      <c r="BO643">
        <v>150.94</v>
      </c>
      <c r="BP643">
        <v>37.74</v>
      </c>
      <c r="BQ643">
        <f t="shared" si="10"/>
        <v>1056.5999999999999</v>
      </c>
      <c r="BR643" t="s">
        <v>1339</v>
      </c>
    </row>
    <row r="644" spans="1:70">
      <c r="A644" t="s">
        <v>2805</v>
      </c>
      <c r="B644" t="s">
        <v>2806</v>
      </c>
      <c r="C644" t="s">
        <v>71</v>
      </c>
      <c r="D644" t="s">
        <v>289</v>
      </c>
      <c r="E644" t="s">
        <v>73</v>
      </c>
      <c r="F644" t="s">
        <v>74</v>
      </c>
      <c r="G644">
        <v>242034</v>
      </c>
      <c r="H644" t="s">
        <v>74</v>
      </c>
      <c r="I644" t="s">
        <v>75</v>
      </c>
      <c r="J644" t="s">
        <v>74</v>
      </c>
      <c r="K644" t="s">
        <v>2807</v>
      </c>
      <c r="L644" t="s">
        <v>77</v>
      </c>
      <c r="M644" t="s">
        <v>78</v>
      </c>
      <c r="N644" t="s">
        <v>499</v>
      </c>
      <c r="O644" t="s">
        <v>2808</v>
      </c>
      <c r="P644" t="s">
        <v>2732</v>
      </c>
      <c r="X644">
        <v>16</v>
      </c>
      <c r="AF644" t="s">
        <v>482</v>
      </c>
      <c r="AG644" t="s">
        <v>296</v>
      </c>
      <c r="AH644" t="s">
        <v>482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2.4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739.04</v>
      </c>
      <c r="BE644">
        <v>0</v>
      </c>
      <c r="BF644">
        <v>640</v>
      </c>
      <c r="BG644">
        <v>0</v>
      </c>
      <c r="BH644">
        <v>0</v>
      </c>
      <c r="BI644">
        <v>128</v>
      </c>
      <c r="BJ644">
        <v>0</v>
      </c>
      <c r="BK644">
        <v>0</v>
      </c>
      <c r="BL644">
        <v>0</v>
      </c>
      <c r="BM644">
        <v>0</v>
      </c>
      <c r="BN644">
        <v>1509.44</v>
      </c>
      <c r="BO644">
        <v>241.51</v>
      </c>
      <c r="BP644">
        <v>60.38</v>
      </c>
      <c r="BQ644">
        <f t="shared" si="10"/>
        <v>1690.57</v>
      </c>
      <c r="BR644" t="s">
        <v>501</v>
      </c>
    </row>
    <row r="645" spans="1:70">
      <c r="A645" t="s">
        <v>2809</v>
      </c>
      <c r="B645" t="s">
        <v>2810</v>
      </c>
      <c r="C645" t="s">
        <v>71</v>
      </c>
      <c r="D645" t="s">
        <v>289</v>
      </c>
      <c r="E645" t="s">
        <v>73</v>
      </c>
      <c r="F645" t="s">
        <v>74</v>
      </c>
      <c r="G645">
        <v>242038</v>
      </c>
      <c r="H645" t="s">
        <v>74</v>
      </c>
      <c r="I645" t="s">
        <v>75</v>
      </c>
      <c r="J645" t="s">
        <v>74</v>
      </c>
      <c r="K645" t="s">
        <v>2811</v>
      </c>
      <c r="L645" t="s">
        <v>77</v>
      </c>
      <c r="M645" t="s">
        <v>78</v>
      </c>
      <c r="N645" t="s">
        <v>524</v>
      </c>
      <c r="O645" t="s">
        <v>2812</v>
      </c>
      <c r="P645" t="s">
        <v>2732</v>
      </c>
      <c r="X645">
        <v>25</v>
      </c>
      <c r="AF645" t="s">
        <v>717</v>
      </c>
      <c r="AG645" t="s">
        <v>296</v>
      </c>
      <c r="AH645" t="s">
        <v>717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3.75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386.25</v>
      </c>
      <c r="BE645">
        <v>0</v>
      </c>
      <c r="BF645">
        <v>1000</v>
      </c>
      <c r="BG645">
        <v>0</v>
      </c>
      <c r="BH645">
        <v>0</v>
      </c>
      <c r="BI645">
        <v>200</v>
      </c>
      <c r="BJ645">
        <v>0</v>
      </c>
      <c r="BK645">
        <v>0</v>
      </c>
      <c r="BL645">
        <v>0</v>
      </c>
      <c r="BM645">
        <v>0</v>
      </c>
      <c r="BN645">
        <v>1590</v>
      </c>
      <c r="BO645">
        <v>254.4</v>
      </c>
      <c r="BP645">
        <v>63.6</v>
      </c>
      <c r="BQ645">
        <f t="shared" si="10"/>
        <v>1780.8000000000002</v>
      </c>
      <c r="BR645" t="s">
        <v>524</v>
      </c>
    </row>
    <row r="646" spans="1:70">
      <c r="A646" t="s">
        <v>2813</v>
      </c>
      <c r="B646" t="s">
        <v>2814</v>
      </c>
      <c r="C646" t="s">
        <v>71</v>
      </c>
      <c r="D646" t="s">
        <v>289</v>
      </c>
      <c r="E646" t="s">
        <v>73</v>
      </c>
      <c r="F646" t="s">
        <v>74</v>
      </c>
      <c r="G646">
        <v>242044</v>
      </c>
      <c r="H646" t="s">
        <v>74</v>
      </c>
      <c r="I646" t="s">
        <v>75</v>
      </c>
      <c r="J646" t="s">
        <v>74</v>
      </c>
      <c r="K646" t="s">
        <v>2815</v>
      </c>
      <c r="L646" t="s">
        <v>77</v>
      </c>
      <c r="M646" t="s">
        <v>78</v>
      </c>
      <c r="N646" t="s">
        <v>404</v>
      </c>
      <c r="O646" t="s">
        <v>405</v>
      </c>
      <c r="P646" t="s">
        <v>2732</v>
      </c>
      <c r="X646">
        <v>10</v>
      </c>
      <c r="AF646" t="s">
        <v>372</v>
      </c>
      <c r="AG646" t="s">
        <v>296</v>
      </c>
      <c r="AH646" t="s">
        <v>372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1.5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154.5</v>
      </c>
      <c r="BE646">
        <v>0</v>
      </c>
      <c r="BF646">
        <v>400</v>
      </c>
      <c r="BG646">
        <v>0</v>
      </c>
      <c r="BH646">
        <v>0</v>
      </c>
      <c r="BI646">
        <v>80</v>
      </c>
      <c r="BJ646">
        <v>0</v>
      </c>
      <c r="BK646">
        <v>0</v>
      </c>
      <c r="BL646">
        <v>0</v>
      </c>
      <c r="BM646">
        <v>0</v>
      </c>
      <c r="BN646">
        <v>636</v>
      </c>
      <c r="BO646">
        <v>101.76</v>
      </c>
      <c r="BP646">
        <v>25.44</v>
      </c>
      <c r="BQ646">
        <f t="shared" si="10"/>
        <v>712.31999999999994</v>
      </c>
      <c r="BR646" t="s">
        <v>406</v>
      </c>
    </row>
    <row r="647" spans="1:70">
      <c r="A647" t="s">
        <v>2816</v>
      </c>
      <c r="B647" t="s">
        <v>2817</v>
      </c>
      <c r="C647" t="s">
        <v>71</v>
      </c>
      <c r="D647" t="s">
        <v>289</v>
      </c>
      <c r="E647" t="s">
        <v>73</v>
      </c>
      <c r="F647" t="s">
        <v>74</v>
      </c>
      <c r="G647">
        <v>242049</v>
      </c>
      <c r="H647" t="s">
        <v>74</v>
      </c>
      <c r="I647" t="s">
        <v>75</v>
      </c>
      <c r="J647" t="s">
        <v>74</v>
      </c>
      <c r="K647" t="s">
        <v>2818</v>
      </c>
      <c r="L647" t="s">
        <v>77</v>
      </c>
      <c r="M647" t="s">
        <v>78</v>
      </c>
      <c r="N647" t="s">
        <v>913</v>
      </c>
      <c r="O647" t="s">
        <v>2819</v>
      </c>
      <c r="P647" t="s">
        <v>2732</v>
      </c>
      <c r="T647">
        <v>1</v>
      </c>
      <c r="AF647" t="s">
        <v>823</v>
      </c>
      <c r="AG647" t="s">
        <v>296</v>
      </c>
      <c r="AH647" t="s">
        <v>823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36.46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1071.1300000000001</v>
      </c>
      <c r="BE647">
        <v>0</v>
      </c>
      <c r="BF647">
        <v>458.08</v>
      </c>
      <c r="BG647">
        <v>0</v>
      </c>
      <c r="BH647">
        <v>0</v>
      </c>
      <c r="BI647">
        <v>421.62</v>
      </c>
      <c r="BJ647">
        <v>0</v>
      </c>
      <c r="BK647">
        <v>0</v>
      </c>
      <c r="BL647">
        <v>0</v>
      </c>
      <c r="BM647">
        <v>0</v>
      </c>
      <c r="BN647">
        <v>1987.29</v>
      </c>
      <c r="BO647">
        <v>317.95999999999998</v>
      </c>
      <c r="BP647">
        <v>79.489999999999995</v>
      </c>
      <c r="BQ647">
        <f t="shared" si="10"/>
        <v>2225.7600000000002</v>
      </c>
      <c r="BR647" t="s">
        <v>915</v>
      </c>
    </row>
    <row r="648" spans="1:70">
      <c r="A648" t="s">
        <v>2820</v>
      </c>
      <c r="B648" t="s">
        <v>2821</v>
      </c>
      <c r="C648" t="s">
        <v>71</v>
      </c>
      <c r="D648" t="s">
        <v>289</v>
      </c>
      <c r="E648" t="s">
        <v>73</v>
      </c>
      <c r="F648" t="s">
        <v>74</v>
      </c>
      <c r="G648">
        <v>242051</v>
      </c>
      <c r="H648" t="s">
        <v>74</v>
      </c>
      <c r="I648" t="s">
        <v>75</v>
      </c>
      <c r="J648" t="s">
        <v>74</v>
      </c>
      <c r="K648" t="s">
        <v>2822</v>
      </c>
      <c r="L648" t="s">
        <v>77</v>
      </c>
      <c r="M648" t="s">
        <v>78</v>
      </c>
      <c r="N648" t="s">
        <v>586</v>
      </c>
      <c r="O648" t="s">
        <v>2823</v>
      </c>
      <c r="P648" t="s">
        <v>2732</v>
      </c>
      <c r="X648">
        <v>11</v>
      </c>
      <c r="AF648" t="s">
        <v>470</v>
      </c>
      <c r="AG648" t="s">
        <v>296</v>
      </c>
      <c r="AH648" t="s">
        <v>470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1.65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508.09</v>
      </c>
      <c r="BE648">
        <v>0</v>
      </c>
      <c r="BF648">
        <v>440</v>
      </c>
      <c r="BG648">
        <v>0</v>
      </c>
      <c r="BH648">
        <v>0</v>
      </c>
      <c r="BI648">
        <v>88</v>
      </c>
      <c r="BJ648">
        <v>0</v>
      </c>
      <c r="BK648">
        <v>0</v>
      </c>
      <c r="BL648">
        <v>0</v>
      </c>
      <c r="BM648">
        <v>0</v>
      </c>
      <c r="BN648">
        <v>1037.74</v>
      </c>
      <c r="BO648">
        <v>166.03</v>
      </c>
      <c r="BP648">
        <v>41.51</v>
      </c>
      <c r="BQ648">
        <f t="shared" si="10"/>
        <v>1162.26</v>
      </c>
      <c r="BR648" t="s">
        <v>586</v>
      </c>
    </row>
    <row r="649" spans="1:70">
      <c r="A649" t="s">
        <v>2824</v>
      </c>
      <c r="B649" t="s">
        <v>2825</v>
      </c>
      <c r="C649" t="s">
        <v>71</v>
      </c>
      <c r="D649" t="s">
        <v>289</v>
      </c>
      <c r="E649" t="s">
        <v>73</v>
      </c>
      <c r="F649" t="s">
        <v>74</v>
      </c>
      <c r="G649">
        <v>242033</v>
      </c>
      <c r="H649" t="s">
        <v>74</v>
      </c>
      <c r="I649" t="s">
        <v>75</v>
      </c>
      <c r="J649" t="s">
        <v>74</v>
      </c>
      <c r="K649" t="s">
        <v>2826</v>
      </c>
      <c r="L649" t="s">
        <v>77</v>
      </c>
      <c r="M649" t="s">
        <v>78</v>
      </c>
      <c r="N649" t="s">
        <v>343</v>
      </c>
      <c r="O649" t="s">
        <v>1433</v>
      </c>
      <c r="P649" t="s">
        <v>2732</v>
      </c>
      <c r="X649">
        <v>12</v>
      </c>
      <c r="AF649" t="s">
        <v>379</v>
      </c>
      <c r="AG649" t="s">
        <v>296</v>
      </c>
      <c r="AH649" t="s">
        <v>379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1.8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185.4</v>
      </c>
      <c r="BE649">
        <v>0</v>
      </c>
      <c r="BF649">
        <v>480</v>
      </c>
      <c r="BG649">
        <v>0</v>
      </c>
      <c r="BH649">
        <v>0</v>
      </c>
      <c r="BI649">
        <v>96</v>
      </c>
      <c r="BJ649">
        <v>0</v>
      </c>
      <c r="BK649">
        <v>0</v>
      </c>
      <c r="BL649">
        <v>0</v>
      </c>
      <c r="BM649">
        <v>0</v>
      </c>
      <c r="BN649">
        <v>763.2</v>
      </c>
      <c r="BO649">
        <v>122.11</v>
      </c>
      <c r="BP649">
        <v>30.53</v>
      </c>
      <c r="BQ649">
        <f t="shared" si="10"/>
        <v>854.78000000000009</v>
      </c>
      <c r="BR649" t="s">
        <v>343</v>
      </c>
    </row>
    <row r="650" spans="1:70">
      <c r="A650" t="s">
        <v>2827</v>
      </c>
      <c r="B650" t="s">
        <v>2828</v>
      </c>
      <c r="C650" t="s">
        <v>71</v>
      </c>
      <c r="D650" t="s">
        <v>289</v>
      </c>
      <c r="E650" t="s">
        <v>73</v>
      </c>
      <c r="F650" t="s">
        <v>74</v>
      </c>
      <c r="G650">
        <v>242031</v>
      </c>
      <c r="H650" t="s">
        <v>74</v>
      </c>
      <c r="I650" t="s">
        <v>75</v>
      </c>
      <c r="J650" t="s">
        <v>74</v>
      </c>
      <c r="K650" t="s">
        <v>2829</v>
      </c>
      <c r="L650" t="s">
        <v>77</v>
      </c>
      <c r="M650" t="s">
        <v>78</v>
      </c>
      <c r="N650" t="s">
        <v>591</v>
      </c>
      <c r="O650" t="s">
        <v>2830</v>
      </c>
      <c r="P650" t="s">
        <v>2732</v>
      </c>
      <c r="X650">
        <v>8</v>
      </c>
      <c r="AF650" t="s">
        <v>1006</v>
      </c>
      <c r="AG650" t="s">
        <v>296</v>
      </c>
      <c r="AH650" t="s">
        <v>1006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1.2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369.52</v>
      </c>
      <c r="BE650">
        <v>0</v>
      </c>
      <c r="BF650">
        <v>320</v>
      </c>
      <c r="BG650">
        <v>0</v>
      </c>
      <c r="BH650">
        <v>0</v>
      </c>
      <c r="BI650">
        <v>64</v>
      </c>
      <c r="BJ650">
        <v>0</v>
      </c>
      <c r="BK650">
        <v>0</v>
      </c>
      <c r="BL650">
        <v>0</v>
      </c>
      <c r="BM650">
        <v>0</v>
      </c>
      <c r="BN650">
        <v>754.72</v>
      </c>
      <c r="BO650">
        <v>120.75</v>
      </c>
      <c r="BP650">
        <v>30.19</v>
      </c>
      <c r="BQ650">
        <f t="shared" si="10"/>
        <v>845.28</v>
      </c>
      <c r="BR650" t="s">
        <v>591</v>
      </c>
    </row>
    <row r="651" spans="1:70">
      <c r="A651" t="s">
        <v>2831</v>
      </c>
      <c r="B651" t="s">
        <v>2832</v>
      </c>
      <c r="C651" t="s">
        <v>71</v>
      </c>
      <c r="D651" t="s">
        <v>289</v>
      </c>
      <c r="E651" t="s">
        <v>73</v>
      </c>
      <c r="F651" t="s">
        <v>74</v>
      </c>
      <c r="G651">
        <v>242032</v>
      </c>
      <c r="H651" t="s">
        <v>74</v>
      </c>
      <c r="I651" t="s">
        <v>75</v>
      </c>
      <c r="J651" t="s">
        <v>74</v>
      </c>
      <c r="K651" t="s">
        <v>2833</v>
      </c>
      <c r="L651" t="s">
        <v>77</v>
      </c>
      <c r="M651" t="s">
        <v>78</v>
      </c>
      <c r="N651" t="s">
        <v>406</v>
      </c>
      <c r="O651" t="s">
        <v>1754</v>
      </c>
      <c r="P651" t="s">
        <v>2732</v>
      </c>
      <c r="X651">
        <v>10</v>
      </c>
      <c r="AF651" t="s">
        <v>372</v>
      </c>
      <c r="AG651" t="s">
        <v>296</v>
      </c>
      <c r="AH651" t="s">
        <v>372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1.5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0</v>
      </c>
      <c r="BB651">
        <v>0</v>
      </c>
      <c r="BC651">
        <v>0</v>
      </c>
      <c r="BD651">
        <v>154.5</v>
      </c>
      <c r="BE651">
        <v>0</v>
      </c>
      <c r="BF651">
        <v>400</v>
      </c>
      <c r="BG651">
        <v>0</v>
      </c>
      <c r="BH651">
        <v>0</v>
      </c>
      <c r="BI651">
        <v>80</v>
      </c>
      <c r="BJ651">
        <v>0</v>
      </c>
      <c r="BK651">
        <v>0</v>
      </c>
      <c r="BL651">
        <v>0</v>
      </c>
      <c r="BM651">
        <v>0</v>
      </c>
      <c r="BN651">
        <v>636</v>
      </c>
      <c r="BO651">
        <v>101.76</v>
      </c>
      <c r="BP651">
        <v>25.44</v>
      </c>
      <c r="BQ651">
        <f t="shared" si="10"/>
        <v>712.31999999999994</v>
      </c>
      <c r="BR651" t="s">
        <v>406</v>
      </c>
    </row>
    <row r="652" spans="1:70">
      <c r="A652" t="s">
        <v>2834</v>
      </c>
      <c r="B652" t="s">
        <v>2835</v>
      </c>
      <c r="C652" t="s">
        <v>71</v>
      </c>
      <c r="D652" t="s">
        <v>289</v>
      </c>
      <c r="E652" t="s">
        <v>73</v>
      </c>
      <c r="F652" t="s">
        <v>74</v>
      </c>
      <c r="G652">
        <v>242021</v>
      </c>
      <c r="H652" t="s">
        <v>74</v>
      </c>
      <c r="I652" t="s">
        <v>75</v>
      </c>
      <c r="J652" t="s">
        <v>74</v>
      </c>
      <c r="K652" t="s">
        <v>2836</v>
      </c>
      <c r="L652" t="s">
        <v>77</v>
      </c>
      <c r="M652" t="s">
        <v>78</v>
      </c>
      <c r="N652" t="s">
        <v>324</v>
      </c>
      <c r="O652" t="s">
        <v>2837</v>
      </c>
      <c r="P652" t="s">
        <v>2732</v>
      </c>
      <c r="T652">
        <v>1</v>
      </c>
      <c r="AF652" t="s">
        <v>823</v>
      </c>
      <c r="AG652" t="s">
        <v>296</v>
      </c>
      <c r="AH652" t="s">
        <v>823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36.46</v>
      </c>
      <c r="AT652">
        <v>0</v>
      </c>
      <c r="AU652">
        <v>0</v>
      </c>
      <c r="AV652">
        <v>2390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1529.21</v>
      </c>
      <c r="BE652">
        <v>0</v>
      </c>
      <c r="BF652">
        <v>458.08</v>
      </c>
      <c r="BG652">
        <v>0</v>
      </c>
      <c r="BH652">
        <v>0</v>
      </c>
      <c r="BI652">
        <v>421.62</v>
      </c>
      <c r="BJ652">
        <v>0</v>
      </c>
      <c r="BK652">
        <v>0</v>
      </c>
      <c r="BL652">
        <v>0</v>
      </c>
      <c r="BM652">
        <v>0</v>
      </c>
      <c r="BN652">
        <v>4835.37</v>
      </c>
      <c r="BO652">
        <v>773.65</v>
      </c>
      <c r="BP652">
        <v>97.81</v>
      </c>
      <c r="BQ652">
        <f t="shared" si="10"/>
        <v>5511.2099999999991</v>
      </c>
      <c r="BR652" t="s">
        <v>324</v>
      </c>
    </row>
    <row r="653" spans="1:70">
      <c r="A653" t="s">
        <v>2838</v>
      </c>
      <c r="B653" t="s">
        <v>2839</v>
      </c>
      <c r="C653" t="s">
        <v>71</v>
      </c>
      <c r="D653" t="s">
        <v>289</v>
      </c>
      <c r="E653" t="s">
        <v>73</v>
      </c>
      <c r="F653" t="s">
        <v>74</v>
      </c>
      <c r="G653">
        <v>242022</v>
      </c>
      <c r="H653" t="s">
        <v>74</v>
      </c>
      <c r="I653" t="s">
        <v>75</v>
      </c>
      <c r="J653" t="s">
        <v>74</v>
      </c>
      <c r="K653" t="s">
        <v>2840</v>
      </c>
      <c r="L653" t="s">
        <v>77</v>
      </c>
      <c r="M653" t="s">
        <v>78</v>
      </c>
      <c r="N653" t="s">
        <v>203</v>
      </c>
      <c r="O653" t="s">
        <v>383</v>
      </c>
      <c r="P653" t="s">
        <v>2732</v>
      </c>
      <c r="X653">
        <v>20</v>
      </c>
      <c r="AF653" t="s">
        <v>384</v>
      </c>
      <c r="AG653" t="s">
        <v>296</v>
      </c>
      <c r="AH653" t="s">
        <v>384</v>
      </c>
      <c r="AJ653">
        <v>0</v>
      </c>
      <c r="AK653">
        <v>0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3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0</v>
      </c>
      <c r="BA653">
        <v>0</v>
      </c>
      <c r="BB653">
        <v>0</v>
      </c>
      <c r="BC653">
        <v>0</v>
      </c>
      <c r="BD653">
        <v>923.8</v>
      </c>
      <c r="BE653">
        <v>0</v>
      </c>
      <c r="BF653">
        <v>800</v>
      </c>
      <c r="BG653">
        <v>0</v>
      </c>
      <c r="BH653">
        <v>0</v>
      </c>
      <c r="BI653">
        <v>160</v>
      </c>
      <c r="BJ653">
        <v>0</v>
      </c>
      <c r="BK653">
        <v>0</v>
      </c>
      <c r="BL653">
        <v>0</v>
      </c>
      <c r="BM653">
        <v>0</v>
      </c>
      <c r="BN653">
        <v>1886.8</v>
      </c>
      <c r="BO653">
        <v>301.89</v>
      </c>
      <c r="BP653">
        <v>75.47</v>
      </c>
      <c r="BQ653">
        <f t="shared" si="10"/>
        <v>2113.2200000000003</v>
      </c>
      <c r="BR653" t="s">
        <v>203</v>
      </c>
    </row>
    <row r="654" spans="1:70">
      <c r="A654" t="s">
        <v>2841</v>
      </c>
      <c r="B654" t="s">
        <v>2842</v>
      </c>
      <c r="C654" t="s">
        <v>71</v>
      </c>
      <c r="D654" t="s">
        <v>289</v>
      </c>
      <c r="E654" t="s">
        <v>73</v>
      </c>
      <c r="F654" t="s">
        <v>74</v>
      </c>
      <c r="G654">
        <v>242025</v>
      </c>
      <c r="H654" t="s">
        <v>74</v>
      </c>
      <c r="I654" t="s">
        <v>75</v>
      </c>
      <c r="J654" t="s">
        <v>74</v>
      </c>
      <c r="K654" t="s">
        <v>2843</v>
      </c>
      <c r="L654" t="s">
        <v>77</v>
      </c>
      <c r="M654" t="s">
        <v>78</v>
      </c>
      <c r="N654" t="s">
        <v>649</v>
      </c>
      <c r="O654" t="s">
        <v>2844</v>
      </c>
      <c r="P654" t="s">
        <v>2732</v>
      </c>
      <c r="X654">
        <v>9</v>
      </c>
      <c r="AF654" t="s">
        <v>407</v>
      </c>
      <c r="AG654" t="s">
        <v>296</v>
      </c>
      <c r="AH654" t="s">
        <v>407</v>
      </c>
      <c r="AJ654">
        <v>0</v>
      </c>
      <c r="AK654">
        <v>0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1.35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139.05000000000001</v>
      </c>
      <c r="BE654">
        <v>0</v>
      </c>
      <c r="BF654">
        <v>360</v>
      </c>
      <c r="BG654">
        <v>0</v>
      </c>
      <c r="BH654">
        <v>0</v>
      </c>
      <c r="BI654">
        <v>72</v>
      </c>
      <c r="BJ654">
        <v>0</v>
      </c>
      <c r="BK654">
        <v>0</v>
      </c>
      <c r="BL654">
        <v>0</v>
      </c>
      <c r="BM654">
        <v>0</v>
      </c>
      <c r="BN654">
        <v>572.4</v>
      </c>
      <c r="BO654">
        <v>91.59</v>
      </c>
      <c r="BP654">
        <v>22.89</v>
      </c>
      <c r="BQ654">
        <f t="shared" si="10"/>
        <v>641.1</v>
      </c>
      <c r="BR654" t="s">
        <v>649</v>
      </c>
    </row>
    <row r="655" spans="1:70">
      <c r="A655" t="s">
        <v>2845</v>
      </c>
      <c r="B655" t="s">
        <v>2846</v>
      </c>
      <c r="C655" t="s">
        <v>71</v>
      </c>
      <c r="D655" t="s">
        <v>289</v>
      </c>
      <c r="E655" t="s">
        <v>73</v>
      </c>
      <c r="F655" t="s">
        <v>74</v>
      </c>
      <c r="G655">
        <v>242013</v>
      </c>
      <c r="H655" t="s">
        <v>74</v>
      </c>
      <c r="I655" t="s">
        <v>75</v>
      </c>
      <c r="J655" t="s">
        <v>74</v>
      </c>
      <c r="K655" t="s">
        <v>2847</v>
      </c>
      <c r="L655" t="s">
        <v>77</v>
      </c>
      <c r="M655" t="s">
        <v>78</v>
      </c>
      <c r="N655" t="s">
        <v>1132</v>
      </c>
      <c r="O655" t="s">
        <v>1133</v>
      </c>
      <c r="P655" t="s">
        <v>2732</v>
      </c>
      <c r="X655">
        <v>13</v>
      </c>
      <c r="AF655" t="s">
        <v>434</v>
      </c>
      <c r="AG655" t="s">
        <v>296</v>
      </c>
      <c r="AH655" t="s">
        <v>434</v>
      </c>
      <c r="AJ655">
        <v>0</v>
      </c>
      <c r="AK655">
        <v>0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1.95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600.47</v>
      </c>
      <c r="BE655">
        <v>0</v>
      </c>
      <c r="BF655">
        <v>520</v>
      </c>
      <c r="BG655">
        <v>0</v>
      </c>
      <c r="BH655">
        <v>0</v>
      </c>
      <c r="BI655">
        <v>104</v>
      </c>
      <c r="BJ655">
        <v>0</v>
      </c>
      <c r="BK655">
        <v>0</v>
      </c>
      <c r="BL655">
        <v>0</v>
      </c>
      <c r="BM655">
        <v>0</v>
      </c>
      <c r="BN655">
        <v>1226.42</v>
      </c>
      <c r="BO655">
        <v>196.23</v>
      </c>
      <c r="BP655">
        <v>49.06</v>
      </c>
      <c r="BQ655">
        <f t="shared" si="10"/>
        <v>1373.5900000000001</v>
      </c>
      <c r="BR655" t="s">
        <v>1134</v>
      </c>
    </row>
    <row r="656" spans="1:70">
      <c r="A656" t="s">
        <v>2848</v>
      </c>
      <c r="B656" t="s">
        <v>2849</v>
      </c>
      <c r="C656" t="s">
        <v>71</v>
      </c>
      <c r="D656" t="s">
        <v>289</v>
      </c>
      <c r="E656" t="s">
        <v>73</v>
      </c>
      <c r="F656" t="s">
        <v>74</v>
      </c>
      <c r="G656">
        <v>242014</v>
      </c>
      <c r="H656" t="s">
        <v>74</v>
      </c>
      <c r="I656" t="s">
        <v>75</v>
      </c>
      <c r="J656" t="s">
        <v>74</v>
      </c>
      <c r="K656" t="s">
        <v>2850</v>
      </c>
      <c r="L656" t="s">
        <v>77</v>
      </c>
      <c r="M656" t="s">
        <v>78</v>
      </c>
      <c r="N656" t="s">
        <v>438</v>
      </c>
      <c r="O656" t="s">
        <v>439</v>
      </c>
      <c r="P656" t="s">
        <v>2732</v>
      </c>
      <c r="X656">
        <v>17</v>
      </c>
      <c r="AF656" t="s">
        <v>464</v>
      </c>
      <c r="AG656" t="s">
        <v>296</v>
      </c>
      <c r="AH656" t="s">
        <v>464</v>
      </c>
      <c r="AJ656">
        <v>0</v>
      </c>
      <c r="AK656">
        <v>0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2.5499999999999998</v>
      </c>
      <c r="AT656">
        <v>0</v>
      </c>
      <c r="AU656">
        <v>0</v>
      </c>
      <c r="AV656">
        <v>0</v>
      </c>
      <c r="AW656">
        <v>0</v>
      </c>
      <c r="AX656">
        <v>0</v>
      </c>
      <c r="AY656">
        <v>0</v>
      </c>
      <c r="AZ656">
        <v>0</v>
      </c>
      <c r="BA656">
        <v>0</v>
      </c>
      <c r="BB656">
        <v>0</v>
      </c>
      <c r="BC656">
        <v>0</v>
      </c>
      <c r="BD656">
        <v>262.64999999999998</v>
      </c>
      <c r="BE656">
        <v>0</v>
      </c>
      <c r="BF656">
        <v>680</v>
      </c>
      <c r="BG656">
        <v>0</v>
      </c>
      <c r="BH656">
        <v>0</v>
      </c>
      <c r="BI656">
        <v>136</v>
      </c>
      <c r="BJ656">
        <v>0</v>
      </c>
      <c r="BK656">
        <v>0</v>
      </c>
      <c r="BL656">
        <v>0</v>
      </c>
      <c r="BM656">
        <v>0</v>
      </c>
      <c r="BN656">
        <v>1081.2</v>
      </c>
      <c r="BO656">
        <v>172.99</v>
      </c>
      <c r="BP656">
        <v>43.25</v>
      </c>
      <c r="BQ656">
        <f t="shared" si="10"/>
        <v>1210.94</v>
      </c>
      <c r="BR656" t="s">
        <v>440</v>
      </c>
    </row>
    <row r="657" spans="1:70">
      <c r="A657" t="s">
        <v>2851</v>
      </c>
      <c r="B657" t="s">
        <v>2852</v>
      </c>
      <c r="C657" t="s">
        <v>71</v>
      </c>
      <c r="D657" t="s">
        <v>289</v>
      </c>
      <c r="E657" t="s">
        <v>73</v>
      </c>
      <c r="F657" t="s">
        <v>74</v>
      </c>
      <c r="G657">
        <v>241994</v>
      </c>
      <c r="H657" t="s">
        <v>74</v>
      </c>
      <c r="I657" t="s">
        <v>75</v>
      </c>
      <c r="J657" t="s">
        <v>74</v>
      </c>
      <c r="K657" t="s">
        <v>2853</v>
      </c>
      <c r="L657" t="s">
        <v>77</v>
      </c>
      <c r="M657" t="s">
        <v>78</v>
      </c>
      <c r="N657" t="s">
        <v>404</v>
      </c>
      <c r="O657" t="s">
        <v>1542</v>
      </c>
      <c r="P657" t="s">
        <v>2732</v>
      </c>
      <c r="AB657">
        <v>3</v>
      </c>
      <c r="AF657" t="s">
        <v>314</v>
      </c>
      <c r="AG657" t="s">
        <v>296</v>
      </c>
      <c r="AH657" t="s">
        <v>314</v>
      </c>
      <c r="AJ657">
        <v>0</v>
      </c>
      <c r="AK657">
        <v>0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0.45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</v>
      </c>
      <c r="BB657">
        <v>0</v>
      </c>
      <c r="BC657">
        <v>0</v>
      </c>
      <c r="BD657">
        <v>279.54000000000002</v>
      </c>
      <c r="BE657">
        <v>0</v>
      </c>
      <c r="BF657">
        <v>120</v>
      </c>
      <c r="BG657">
        <v>0</v>
      </c>
      <c r="BH657">
        <v>0</v>
      </c>
      <c r="BI657">
        <v>24</v>
      </c>
      <c r="BJ657">
        <v>0</v>
      </c>
      <c r="BK657">
        <v>0</v>
      </c>
      <c r="BL657">
        <v>0</v>
      </c>
      <c r="BM657">
        <v>0</v>
      </c>
      <c r="BN657">
        <v>423.99</v>
      </c>
      <c r="BO657">
        <v>67.84</v>
      </c>
      <c r="BP657">
        <v>16.96</v>
      </c>
      <c r="BQ657">
        <f t="shared" si="10"/>
        <v>474.87000000000006</v>
      </c>
      <c r="BR657" t="s">
        <v>406</v>
      </c>
    </row>
    <row r="658" spans="1:70">
      <c r="A658" t="s">
        <v>2854</v>
      </c>
      <c r="B658" t="s">
        <v>2855</v>
      </c>
      <c r="C658" t="s">
        <v>71</v>
      </c>
      <c r="D658" t="s">
        <v>289</v>
      </c>
      <c r="E658" t="s">
        <v>73</v>
      </c>
      <c r="F658" t="s">
        <v>74</v>
      </c>
      <c r="G658">
        <v>241995</v>
      </c>
      <c r="H658" t="s">
        <v>74</v>
      </c>
      <c r="I658" t="s">
        <v>75</v>
      </c>
      <c r="J658" t="s">
        <v>74</v>
      </c>
      <c r="K658" t="s">
        <v>2856</v>
      </c>
      <c r="L658" t="s">
        <v>77</v>
      </c>
      <c r="M658" t="s">
        <v>78</v>
      </c>
      <c r="N658" t="s">
        <v>337</v>
      </c>
      <c r="O658" t="s">
        <v>338</v>
      </c>
      <c r="P658" t="s">
        <v>2732</v>
      </c>
      <c r="X658">
        <v>5</v>
      </c>
      <c r="AF658" t="s">
        <v>333</v>
      </c>
      <c r="AG658" t="s">
        <v>296</v>
      </c>
      <c r="AH658" t="s">
        <v>333</v>
      </c>
      <c r="AJ658">
        <v>0</v>
      </c>
      <c r="AK658">
        <v>0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0.75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230.95</v>
      </c>
      <c r="BE658">
        <v>0</v>
      </c>
      <c r="BF658">
        <v>200</v>
      </c>
      <c r="BG658">
        <v>0</v>
      </c>
      <c r="BH658">
        <v>0</v>
      </c>
      <c r="BI658">
        <v>40</v>
      </c>
      <c r="BJ658">
        <v>0</v>
      </c>
      <c r="BK658">
        <v>0</v>
      </c>
      <c r="BL658">
        <v>0</v>
      </c>
      <c r="BM658">
        <v>0</v>
      </c>
      <c r="BN658">
        <v>471.7</v>
      </c>
      <c r="BO658">
        <v>75.47</v>
      </c>
      <c r="BP658">
        <v>18.87</v>
      </c>
      <c r="BQ658">
        <f t="shared" si="10"/>
        <v>528.29999999999995</v>
      </c>
      <c r="BR658" t="s">
        <v>337</v>
      </c>
    </row>
    <row r="659" spans="1:70">
      <c r="A659" t="s">
        <v>2857</v>
      </c>
      <c r="B659" t="s">
        <v>2858</v>
      </c>
      <c r="C659" t="s">
        <v>71</v>
      </c>
      <c r="D659" t="s">
        <v>289</v>
      </c>
      <c r="E659" t="s">
        <v>73</v>
      </c>
      <c r="F659" t="s">
        <v>74</v>
      </c>
      <c r="G659">
        <v>241997</v>
      </c>
      <c r="H659" t="s">
        <v>74</v>
      </c>
      <c r="I659" t="s">
        <v>75</v>
      </c>
      <c r="K659" t="s">
        <v>2859</v>
      </c>
      <c r="L659" t="s">
        <v>77</v>
      </c>
      <c r="M659" t="s">
        <v>78</v>
      </c>
      <c r="N659" t="s">
        <v>411</v>
      </c>
      <c r="O659" t="s">
        <v>412</v>
      </c>
      <c r="P659" t="s">
        <v>2732</v>
      </c>
      <c r="X659">
        <v>14</v>
      </c>
      <c r="AF659" t="s">
        <v>413</v>
      </c>
      <c r="AG659" t="s">
        <v>296</v>
      </c>
      <c r="AH659" t="s">
        <v>413</v>
      </c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2.1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0</v>
      </c>
      <c r="BA659">
        <v>0</v>
      </c>
      <c r="BB659">
        <v>0</v>
      </c>
      <c r="BC659">
        <v>0</v>
      </c>
      <c r="BD659">
        <v>646.66</v>
      </c>
      <c r="BE659">
        <v>0</v>
      </c>
      <c r="BF659">
        <v>560</v>
      </c>
      <c r="BG659">
        <v>0</v>
      </c>
      <c r="BH659">
        <v>0</v>
      </c>
      <c r="BI659">
        <v>112</v>
      </c>
      <c r="BJ659">
        <v>0</v>
      </c>
      <c r="BK659">
        <v>0</v>
      </c>
      <c r="BL659">
        <v>0</v>
      </c>
      <c r="BM659">
        <v>0</v>
      </c>
      <c r="BN659">
        <v>1320.76</v>
      </c>
      <c r="BO659">
        <v>211.33</v>
      </c>
      <c r="BP659">
        <v>52.83</v>
      </c>
      <c r="BQ659">
        <f t="shared" si="10"/>
        <v>1479.26</v>
      </c>
      <c r="BR659" t="s">
        <v>411</v>
      </c>
    </row>
    <row r="660" spans="1:70">
      <c r="A660" t="s">
        <v>2860</v>
      </c>
      <c r="B660" t="s">
        <v>2861</v>
      </c>
      <c r="C660" t="s">
        <v>71</v>
      </c>
      <c r="D660" t="s">
        <v>289</v>
      </c>
      <c r="E660" t="s">
        <v>73</v>
      </c>
      <c r="F660" t="s">
        <v>74</v>
      </c>
      <c r="G660">
        <v>241998</v>
      </c>
      <c r="H660" t="s">
        <v>74</v>
      </c>
      <c r="I660" t="s">
        <v>75</v>
      </c>
      <c r="J660" t="s">
        <v>74</v>
      </c>
      <c r="K660" t="s">
        <v>2862</v>
      </c>
      <c r="L660" t="s">
        <v>77</v>
      </c>
      <c r="M660" t="s">
        <v>78</v>
      </c>
      <c r="N660" t="s">
        <v>499</v>
      </c>
      <c r="O660" t="s">
        <v>500</v>
      </c>
      <c r="P660" t="s">
        <v>2732</v>
      </c>
      <c r="X660">
        <v>11</v>
      </c>
      <c r="AF660" t="s">
        <v>470</v>
      </c>
      <c r="AG660" t="s">
        <v>296</v>
      </c>
      <c r="AH660" t="s">
        <v>470</v>
      </c>
      <c r="AJ660">
        <v>0</v>
      </c>
      <c r="AK660">
        <v>0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1.65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508.09</v>
      </c>
      <c r="BE660">
        <v>0</v>
      </c>
      <c r="BF660">
        <v>440</v>
      </c>
      <c r="BG660">
        <v>0</v>
      </c>
      <c r="BH660">
        <v>0</v>
      </c>
      <c r="BI660">
        <v>88</v>
      </c>
      <c r="BJ660">
        <v>0</v>
      </c>
      <c r="BK660">
        <v>0</v>
      </c>
      <c r="BL660">
        <v>0</v>
      </c>
      <c r="BM660">
        <v>0</v>
      </c>
      <c r="BN660">
        <v>1037.74</v>
      </c>
      <c r="BO660">
        <v>166.03</v>
      </c>
      <c r="BP660">
        <v>41.51</v>
      </c>
      <c r="BQ660">
        <f t="shared" si="10"/>
        <v>1162.26</v>
      </c>
      <c r="BR660" t="s">
        <v>501</v>
      </c>
    </row>
    <row r="661" spans="1:70">
      <c r="A661" t="s">
        <v>2863</v>
      </c>
      <c r="B661" t="s">
        <v>2864</v>
      </c>
      <c r="C661" t="s">
        <v>71</v>
      </c>
      <c r="D661" t="s">
        <v>289</v>
      </c>
      <c r="E661" t="s">
        <v>73</v>
      </c>
      <c r="F661" t="s">
        <v>74</v>
      </c>
      <c r="G661">
        <v>241999</v>
      </c>
      <c r="H661" t="s">
        <v>74</v>
      </c>
      <c r="I661" t="s">
        <v>75</v>
      </c>
      <c r="J661" t="s">
        <v>74</v>
      </c>
      <c r="K661" t="s">
        <v>2865</v>
      </c>
      <c r="L661" t="s">
        <v>77</v>
      </c>
      <c r="M661" t="s">
        <v>78</v>
      </c>
      <c r="N661" t="s">
        <v>421</v>
      </c>
      <c r="O661" t="s">
        <v>2866</v>
      </c>
      <c r="P661" t="s">
        <v>2732</v>
      </c>
      <c r="X661">
        <v>10</v>
      </c>
      <c r="AF661" t="s">
        <v>372</v>
      </c>
      <c r="AG661" t="s">
        <v>296</v>
      </c>
      <c r="AH661" t="s">
        <v>372</v>
      </c>
      <c r="AJ661">
        <v>0</v>
      </c>
      <c r="AK661">
        <v>0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1.5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461.9</v>
      </c>
      <c r="BE661">
        <v>0</v>
      </c>
      <c r="BF661">
        <v>400</v>
      </c>
      <c r="BG661">
        <v>0</v>
      </c>
      <c r="BH661">
        <v>0</v>
      </c>
      <c r="BI661">
        <v>80</v>
      </c>
      <c r="BJ661">
        <v>0</v>
      </c>
      <c r="BK661">
        <v>0</v>
      </c>
      <c r="BL661">
        <v>0</v>
      </c>
      <c r="BM661">
        <v>0</v>
      </c>
      <c r="BN661">
        <v>943.4</v>
      </c>
      <c r="BO661">
        <v>150.94</v>
      </c>
      <c r="BP661">
        <v>37.74</v>
      </c>
      <c r="BQ661">
        <f t="shared" si="10"/>
        <v>1056.5999999999999</v>
      </c>
      <c r="BR661" t="s">
        <v>423</v>
      </c>
    </row>
    <row r="662" spans="1:70">
      <c r="A662" t="s">
        <v>2867</v>
      </c>
      <c r="B662" t="s">
        <v>2868</v>
      </c>
      <c r="C662" t="s">
        <v>71</v>
      </c>
      <c r="D662" t="s">
        <v>289</v>
      </c>
      <c r="E662" t="s">
        <v>73</v>
      </c>
      <c r="F662" t="s">
        <v>74</v>
      </c>
      <c r="G662">
        <v>242000</v>
      </c>
      <c r="H662" t="s">
        <v>74</v>
      </c>
      <c r="I662" t="s">
        <v>75</v>
      </c>
      <c r="J662" t="s">
        <v>74</v>
      </c>
      <c r="K662" t="s">
        <v>2869</v>
      </c>
      <c r="L662" t="s">
        <v>77</v>
      </c>
      <c r="M662" t="s">
        <v>78</v>
      </c>
      <c r="N662" t="s">
        <v>558</v>
      </c>
      <c r="O662" t="s">
        <v>787</v>
      </c>
      <c r="P662" t="s">
        <v>2732</v>
      </c>
      <c r="X662">
        <v>8</v>
      </c>
      <c r="AF662" t="s">
        <v>1006</v>
      </c>
      <c r="AG662" t="s">
        <v>296</v>
      </c>
      <c r="AH662" t="s">
        <v>1006</v>
      </c>
      <c r="AJ662">
        <v>0</v>
      </c>
      <c r="AK662">
        <v>0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1.2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369.52</v>
      </c>
      <c r="BE662">
        <v>0</v>
      </c>
      <c r="BF662">
        <v>320</v>
      </c>
      <c r="BG662">
        <v>0</v>
      </c>
      <c r="BH662">
        <v>0</v>
      </c>
      <c r="BI662">
        <v>64</v>
      </c>
      <c r="BJ662">
        <v>0</v>
      </c>
      <c r="BK662">
        <v>0</v>
      </c>
      <c r="BL662">
        <v>0</v>
      </c>
      <c r="BM662">
        <v>0</v>
      </c>
      <c r="BN662">
        <v>754.72</v>
      </c>
      <c r="BO662">
        <v>120.75</v>
      </c>
      <c r="BP662">
        <v>30.19</v>
      </c>
      <c r="BQ662">
        <f t="shared" si="10"/>
        <v>845.28</v>
      </c>
      <c r="BR662" t="s">
        <v>560</v>
      </c>
    </row>
    <row r="663" spans="1:70">
      <c r="A663" t="s">
        <v>2870</v>
      </c>
      <c r="B663" t="s">
        <v>2871</v>
      </c>
      <c r="C663" t="s">
        <v>71</v>
      </c>
      <c r="D663" t="s">
        <v>289</v>
      </c>
      <c r="E663" t="s">
        <v>73</v>
      </c>
      <c r="F663" t="s">
        <v>74</v>
      </c>
      <c r="G663">
        <v>242002</v>
      </c>
      <c r="H663" t="s">
        <v>74</v>
      </c>
      <c r="I663" t="s">
        <v>75</v>
      </c>
      <c r="J663" t="s">
        <v>74</v>
      </c>
      <c r="K663" t="s">
        <v>2872</v>
      </c>
      <c r="L663" t="s">
        <v>77</v>
      </c>
      <c r="M663" t="s">
        <v>78</v>
      </c>
      <c r="N663" t="s">
        <v>343</v>
      </c>
      <c r="O663" t="s">
        <v>1275</v>
      </c>
      <c r="P663" t="s">
        <v>2732</v>
      </c>
      <c r="V663">
        <v>1</v>
      </c>
      <c r="AF663" t="s">
        <v>295</v>
      </c>
      <c r="AG663" t="s">
        <v>296</v>
      </c>
      <c r="AH663" t="s">
        <v>295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0.15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375.85</v>
      </c>
      <c r="BE663">
        <v>0</v>
      </c>
      <c r="BF663">
        <v>40</v>
      </c>
      <c r="BG663">
        <v>0</v>
      </c>
      <c r="BH663">
        <v>0</v>
      </c>
      <c r="BI663">
        <v>8</v>
      </c>
      <c r="BJ663">
        <v>0</v>
      </c>
      <c r="BK663">
        <v>0</v>
      </c>
      <c r="BL663">
        <v>0</v>
      </c>
      <c r="BM663">
        <v>0</v>
      </c>
      <c r="BN663">
        <v>424</v>
      </c>
      <c r="BO663">
        <v>67.84</v>
      </c>
      <c r="BP663">
        <v>16.96</v>
      </c>
      <c r="BQ663">
        <f t="shared" si="10"/>
        <v>474.88000000000005</v>
      </c>
      <c r="BR663" t="s">
        <v>343</v>
      </c>
    </row>
    <row r="664" spans="1:70">
      <c r="A664" t="s">
        <v>2873</v>
      </c>
      <c r="B664" t="s">
        <v>2874</v>
      </c>
      <c r="C664" t="s">
        <v>71</v>
      </c>
      <c r="D664" t="s">
        <v>289</v>
      </c>
      <c r="E664" t="s">
        <v>73</v>
      </c>
      <c r="F664" t="s">
        <v>74</v>
      </c>
      <c r="G664">
        <v>242006</v>
      </c>
      <c r="H664" t="s">
        <v>74</v>
      </c>
      <c r="I664" t="s">
        <v>75</v>
      </c>
      <c r="J664" t="s">
        <v>74</v>
      </c>
      <c r="K664" t="s">
        <v>2875</v>
      </c>
      <c r="L664" t="s">
        <v>77</v>
      </c>
      <c r="M664" t="s">
        <v>78</v>
      </c>
      <c r="N664" t="s">
        <v>376</v>
      </c>
      <c r="O664" t="s">
        <v>377</v>
      </c>
      <c r="P664" t="s">
        <v>2732</v>
      </c>
      <c r="X664">
        <v>10</v>
      </c>
      <c r="AF664" t="s">
        <v>372</v>
      </c>
      <c r="AG664" t="s">
        <v>296</v>
      </c>
      <c r="AH664" t="s">
        <v>372</v>
      </c>
      <c r="AJ664">
        <v>0</v>
      </c>
      <c r="AK664">
        <v>0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1.5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461.9</v>
      </c>
      <c r="BE664">
        <v>0</v>
      </c>
      <c r="BF664">
        <v>400</v>
      </c>
      <c r="BG664">
        <v>0</v>
      </c>
      <c r="BH664">
        <v>0</v>
      </c>
      <c r="BI664">
        <v>80</v>
      </c>
      <c r="BJ664">
        <v>0</v>
      </c>
      <c r="BK664">
        <v>0</v>
      </c>
      <c r="BL664">
        <v>0</v>
      </c>
      <c r="BM664">
        <v>0</v>
      </c>
      <c r="BN664">
        <v>943.4</v>
      </c>
      <c r="BO664">
        <v>150.94</v>
      </c>
      <c r="BP664">
        <v>37.74</v>
      </c>
      <c r="BQ664">
        <f t="shared" si="10"/>
        <v>1056.5999999999999</v>
      </c>
      <c r="BR664" t="s">
        <v>378</v>
      </c>
    </row>
    <row r="665" spans="1:70">
      <c r="A665" t="s">
        <v>2876</v>
      </c>
      <c r="B665" t="s">
        <v>2877</v>
      </c>
      <c r="C665" t="s">
        <v>71</v>
      </c>
      <c r="D665" t="s">
        <v>289</v>
      </c>
      <c r="E665" t="s">
        <v>73</v>
      </c>
      <c r="F665" t="s">
        <v>74</v>
      </c>
      <c r="G665">
        <v>242008</v>
      </c>
      <c r="H665" t="s">
        <v>74</v>
      </c>
      <c r="I665" t="s">
        <v>75</v>
      </c>
      <c r="J665" t="s">
        <v>74</v>
      </c>
      <c r="K665" t="s">
        <v>2878</v>
      </c>
      <c r="L665" t="s">
        <v>77</v>
      </c>
      <c r="M665" t="s">
        <v>78</v>
      </c>
      <c r="N665" t="s">
        <v>349</v>
      </c>
      <c r="O665" t="s">
        <v>770</v>
      </c>
      <c r="P665" t="s">
        <v>2732</v>
      </c>
      <c r="X665">
        <v>6</v>
      </c>
      <c r="AF665" t="s">
        <v>400</v>
      </c>
      <c r="AG665" t="s">
        <v>296</v>
      </c>
      <c r="AH665" t="s">
        <v>400</v>
      </c>
      <c r="AJ665">
        <v>0</v>
      </c>
      <c r="AK665">
        <v>0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0.9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277.14</v>
      </c>
      <c r="BE665">
        <v>0</v>
      </c>
      <c r="BF665">
        <v>240</v>
      </c>
      <c r="BG665">
        <v>0</v>
      </c>
      <c r="BH665">
        <v>0</v>
      </c>
      <c r="BI665">
        <v>48</v>
      </c>
      <c r="BJ665">
        <v>0</v>
      </c>
      <c r="BK665">
        <v>0</v>
      </c>
      <c r="BL665">
        <v>0</v>
      </c>
      <c r="BM665">
        <v>0</v>
      </c>
      <c r="BN665">
        <v>566.04</v>
      </c>
      <c r="BO665">
        <v>90.56</v>
      </c>
      <c r="BP665">
        <v>22.65</v>
      </c>
      <c r="BQ665">
        <f t="shared" si="10"/>
        <v>633.94999999999993</v>
      </c>
      <c r="BR665" t="s">
        <v>349</v>
      </c>
    </row>
    <row r="666" spans="1:70">
      <c r="A666" t="s">
        <v>2879</v>
      </c>
      <c r="B666" t="s">
        <v>2880</v>
      </c>
      <c r="C666" t="s">
        <v>71</v>
      </c>
      <c r="D666" t="s">
        <v>289</v>
      </c>
      <c r="E666" t="s">
        <v>73</v>
      </c>
      <c r="F666" t="s">
        <v>74</v>
      </c>
      <c r="G666">
        <v>242010</v>
      </c>
      <c r="H666" t="s">
        <v>74</v>
      </c>
      <c r="I666" t="s">
        <v>75</v>
      </c>
      <c r="J666" t="s">
        <v>74</v>
      </c>
      <c r="K666" t="s">
        <v>2881</v>
      </c>
      <c r="L666" t="s">
        <v>77</v>
      </c>
      <c r="M666" t="s">
        <v>78</v>
      </c>
      <c r="N666" t="s">
        <v>191</v>
      </c>
      <c r="O666" t="s">
        <v>389</v>
      </c>
      <c r="P666" t="s">
        <v>2732</v>
      </c>
      <c r="AD666">
        <v>4</v>
      </c>
      <c r="AF666" t="s">
        <v>326</v>
      </c>
      <c r="AG666" t="s">
        <v>296</v>
      </c>
      <c r="AH666" t="s">
        <v>326</v>
      </c>
      <c r="AJ666">
        <v>0</v>
      </c>
      <c r="AK666">
        <v>0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0.6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279.12</v>
      </c>
      <c r="BE666">
        <v>0</v>
      </c>
      <c r="BF666">
        <v>160</v>
      </c>
      <c r="BG666">
        <v>0</v>
      </c>
      <c r="BH666">
        <v>0</v>
      </c>
      <c r="BI666">
        <v>32</v>
      </c>
      <c r="BJ666">
        <v>0</v>
      </c>
      <c r="BK666">
        <v>0</v>
      </c>
      <c r="BL666">
        <v>0</v>
      </c>
      <c r="BM666">
        <v>0</v>
      </c>
      <c r="BN666">
        <v>471.72</v>
      </c>
      <c r="BO666">
        <v>75.48</v>
      </c>
      <c r="BP666">
        <v>18.86</v>
      </c>
      <c r="BQ666">
        <f t="shared" si="10"/>
        <v>528.34</v>
      </c>
      <c r="BR666" t="s">
        <v>195</v>
      </c>
    </row>
    <row r="667" spans="1:70">
      <c r="A667" t="s">
        <v>2882</v>
      </c>
      <c r="B667" t="s">
        <v>2883</v>
      </c>
      <c r="C667" t="s">
        <v>71</v>
      </c>
      <c r="D667" t="s">
        <v>289</v>
      </c>
      <c r="E667" t="s">
        <v>73</v>
      </c>
      <c r="F667" t="s">
        <v>74</v>
      </c>
      <c r="G667">
        <v>241973</v>
      </c>
      <c r="H667" t="s">
        <v>74</v>
      </c>
      <c r="I667" t="s">
        <v>75</v>
      </c>
      <c r="J667" t="s">
        <v>74</v>
      </c>
      <c r="K667" t="s">
        <v>2884</v>
      </c>
      <c r="L667" t="s">
        <v>77</v>
      </c>
      <c r="M667" t="s">
        <v>78</v>
      </c>
      <c r="N667" t="s">
        <v>343</v>
      </c>
      <c r="O667" t="s">
        <v>658</v>
      </c>
      <c r="P667" t="s">
        <v>2732</v>
      </c>
      <c r="X667">
        <v>12</v>
      </c>
      <c r="AF667" t="s">
        <v>379</v>
      </c>
      <c r="AG667" t="s">
        <v>296</v>
      </c>
      <c r="AH667" t="s">
        <v>379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1.8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185.4</v>
      </c>
      <c r="BE667">
        <v>0</v>
      </c>
      <c r="BF667">
        <v>480</v>
      </c>
      <c r="BG667">
        <v>0</v>
      </c>
      <c r="BH667">
        <v>0</v>
      </c>
      <c r="BI667">
        <v>96</v>
      </c>
      <c r="BJ667">
        <v>0</v>
      </c>
      <c r="BK667">
        <v>0</v>
      </c>
      <c r="BL667">
        <v>0</v>
      </c>
      <c r="BM667">
        <v>0</v>
      </c>
      <c r="BN667">
        <v>763.2</v>
      </c>
      <c r="BO667">
        <v>122.11</v>
      </c>
      <c r="BP667">
        <v>30.53</v>
      </c>
      <c r="BQ667">
        <f t="shared" si="10"/>
        <v>854.78000000000009</v>
      </c>
      <c r="BR667" t="s">
        <v>343</v>
      </c>
    </row>
    <row r="668" spans="1:70">
      <c r="A668" t="s">
        <v>2885</v>
      </c>
      <c r="B668" t="s">
        <v>2886</v>
      </c>
      <c r="C668" t="s">
        <v>71</v>
      </c>
      <c r="D668" t="s">
        <v>289</v>
      </c>
      <c r="E668" t="s">
        <v>73</v>
      </c>
      <c r="F668" t="s">
        <v>74</v>
      </c>
      <c r="G668">
        <v>241976</v>
      </c>
      <c r="H668" t="s">
        <v>74</v>
      </c>
      <c r="I668" t="s">
        <v>75</v>
      </c>
      <c r="J668" t="s">
        <v>74</v>
      </c>
      <c r="K668" t="s">
        <v>2887</v>
      </c>
      <c r="L668" t="s">
        <v>77</v>
      </c>
      <c r="M668" t="s">
        <v>78</v>
      </c>
      <c r="N668" t="s">
        <v>832</v>
      </c>
      <c r="O668" t="s">
        <v>1387</v>
      </c>
      <c r="P668" t="s">
        <v>2732</v>
      </c>
      <c r="X668">
        <v>5</v>
      </c>
      <c r="AF668" t="s">
        <v>333</v>
      </c>
      <c r="AG668" t="s">
        <v>296</v>
      </c>
      <c r="AH668" t="s">
        <v>333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0.75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77.25</v>
      </c>
      <c r="BE668">
        <v>0</v>
      </c>
      <c r="BF668">
        <v>200</v>
      </c>
      <c r="BG668">
        <v>0</v>
      </c>
      <c r="BH668">
        <v>0</v>
      </c>
      <c r="BI668">
        <v>40</v>
      </c>
      <c r="BJ668">
        <v>0</v>
      </c>
      <c r="BK668">
        <v>0</v>
      </c>
      <c r="BL668">
        <v>0</v>
      </c>
      <c r="BM668">
        <v>0</v>
      </c>
      <c r="BN668">
        <v>318</v>
      </c>
      <c r="BO668">
        <v>50.88</v>
      </c>
      <c r="BP668">
        <v>12.72</v>
      </c>
      <c r="BQ668">
        <f t="shared" si="10"/>
        <v>356.15999999999997</v>
      </c>
      <c r="BR668" t="s">
        <v>832</v>
      </c>
    </row>
    <row r="669" spans="1:70">
      <c r="A669" t="s">
        <v>2888</v>
      </c>
      <c r="B669" t="s">
        <v>2889</v>
      </c>
      <c r="C669" t="s">
        <v>71</v>
      </c>
      <c r="D669" t="s">
        <v>289</v>
      </c>
      <c r="E669" t="s">
        <v>73</v>
      </c>
      <c r="F669" t="s">
        <v>74</v>
      </c>
      <c r="G669">
        <v>241985</v>
      </c>
      <c r="H669" t="s">
        <v>74</v>
      </c>
      <c r="I669" t="s">
        <v>75</v>
      </c>
      <c r="J669" t="s">
        <v>74</v>
      </c>
      <c r="K669" t="s">
        <v>2890</v>
      </c>
      <c r="L669" t="s">
        <v>77</v>
      </c>
      <c r="M669" t="s">
        <v>78</v>
      </c>
      <c r="N669" t="s">
        <v>1146</v>
      </c>
      <c r="O669" t="s">
        <v>1147</v>
      </c>
      <c r="P669" t="s">
        <v>2732</v>
      </c>
      <c r="X669">
        <v>17</v>
      </c>
      <c r="AF669" t="s">
        <v>464</v>
      </c>
      <c r="AG669" t="s">
        <v>296</v>
      </c>
      <c r="AH669" t="s">
        <v>464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2.5499999999999998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262.64999999999998</v>
      </c>
      <c r="BE669">
        <v>0</v>
      </c>
      <c r="BF669">
        <v>680</v>
      </c>
      <c r="BG669">
        <v>0</v>
      </c>
      <c r="BH669">
        <v>0</v>
      </c>
      <c r="BI669">
        <v>136</v>
      </c>
      <c r="BJ669">
        <v>0</v>
      </c>
      <c r="BK669">
        <v>0</v>
      </c>
      <c r="BL669">
        <v>0</v>
      </c>
      <c r="BM669">
        <v>0</v>
      </c>
      <c r="BN669">
        <v>1081.2</v>
      </c>
      <c r="BO669">
        <v>172.99</v>
      </c>
      <c r="BP669">
        <v>43.25</v>
      </c>
      <c r="BQ669">
        <f t="shared" si="10"/>
        <v>1210.94</v>
      </c>
      <c r="BR669" t="s">
        <v>83</v>
      </c>
    </row>
    <row r="670" spans="1:70">
      <c r="A670" t="s">
        <v>2891</v>
      </c>
      <c r="B670" t="s">
        <v>2892</v>
      </c>
      <c r="C670" t="s">
        <v>71</v>
      </c>
      <c r="D670" t="s">
        <v>289</v>
      </c>
      <c r="E670" t="s">
        <v>73</v>
      </c>
      <c r="F670" t="s">
        <v>74</v>
      </c>
      <c r="G670">
        <v>241988</v>
      </c>
      <c r="H670" t="s">
        <v>74</v>
      </c>
      <c r="I670" t="s">
        <v>75</v>
      </c>
      <c r="J670" t="s">
        <v>74</v>
      </c>
      <c r="K670" t="s">
        <v>2893</v>
      </c>
      <c r="L670" t="s">
        <v>77</v>
      </c>
      <c r="M670" t="s">
        <v>78</v>
      </c>
      <c r="N670" t="s">
        <v>880</v>
      </c>
      <c r="O670" t="s">
        <v>2894</v>
      </c>
      <c r="P670" t="s">
        <v>2732</v>
      </c>
      <c r="X670">
        <v>5</v>
      </c>
      <c r="AF670" t="s">
        <v>333</v>
      </c>
      <c r="AG670" t="s">
        <v>296</v>
      </c>
      <c r="AH670" t="s">
        <v>333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0.75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230.95</v>
      </c>
      <c r="BE670">
        <v>0</v>
      </c>
      <c r="BF670">
        <v>200</v>
      </c>
      <c r="BG670">
        <v>0</v>
      </c>
      <c r="BH670">
        <v>0</v>
      </c>
      <c r="BI670">
        <v>40</v>
      </c>
      <c r="BJ670">
        <v>0</v>
      </c>
      <c r="BK670">
        <v>0</v>
      </c>
      <c r="BL670">
        <v>0</v>
      </c>
      <c r="BM670">
        <v>0</v>
      </c>
      <c r="BN670">
        <v>471.7</v>
      </c>
      <c r="BO670">
        <v>75.47</v>
      </c>
      <c r="BP670">
        <v>18.87</v>
      </c>
      <c r="BQ670">
        <f t="shared" si="10"/>
        <v>528.29999999999995</v>
      </c>
      <c r="BR670" t="s">
        <v>880</v>
      </c>
    </row>
    <row r="671" spans="1:70">
      <c r="A671" t="s">
        <v>2895</v>
      </c>
      <c r="B671" t="s">
        <v>2896</v>
      </c>
      <c r="C671" t="s">
        <v>71</v>
      </c>
      <c r="D671" t="s">
        <v>289</v>
      </c>
      <c r="E671" t="s">
        <v>73</v>
      </c>
      <c r="F671" t="s">
        <v>74</v>
      </c>
      <c r="G671">
        <v>241992</v>
      </c>
      <c r="H671" t="s">
        <v>74</v>
      </c>
      <c r="I671" t="s">
        <v>75</v>
      </c>
      <c r="K671" t="s">
        <v>2897</v>
      </c>
      <c r="L671" t="s">
        <v>77</v>
      </c>
      <c r="M671" t="s">
        <v>78</v>
      </c>
      <c r="N671" t="s">
        <v>950</v>
      </c>
      <c r="O671" t="s">
        <v>2898</v>
      </c>
      <c r="P671" t="s">
        <v>2732</v>
      </c>
      <c r="X671">
        <v>16</v>
      </c>
      <c r="AF671" t="s">
        <v>482</v>
      </c>
      <c r="AG671" t="s">
        <v>296</v>
      </c>
      <c r="AH671" t="s">
        <v>482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2.4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247.2</v>
      </c>
      <c r="BE671">
        <v>0</v>
      </c>
      <c r="BF671">
        <v>640</v>
      </c>
      <c r="BG671">
        <v>0</v>
      </c>
      <c r="BH671">
        <v>0</v>
      </c>
      <c r="BI671">
        <v>128</v>
      </c>
      <c r="BJ671">
        <v>0</v>
      </c>
      <c r="BK671">
        <v>0</v>
      </c>
      <c r="BL671">
        <v>0</v>
      </c>
      <c r="BM671">
        <v>0</v>
      </c>
      <c r="BN671">
        <v>1017.6</v>
      </c>
      <c r="BO671">
        <v>162.81</v>
      </c>
      <c r="BP671">
        <v>40.71</v>
      </c>
      <c r="BQ671">
        <f t="shared" si="10"/>
        <v>1139.7</v>
      </c>
      <c r="BR671" t="s">
        <v>950</v>
      </c>
    </row>
    <row r="672" spans="1:70">
      <c r="A672" t="s">
        <v>2899</v>
      </c>
      <c r="B672" t="s">
        <v>2900</v>
      </c>
      <c r="C672" t="s">
        <v>71</v>
      </c>
      <c r="D672" t="s">
        <v>289</v>
      </c>
      <c r="E672" t="s">
        <v>73</v>
      </c>
      <c r="F672" t="s">
        <v>74</v>
      </c>
      <c r="G672">
        <v>241951</v>
      </c>
      <c r="H672" t="s">
        <v>74</v>
      </c>
      <c r="I672" t="s">
        <v>75</v>
      </c>
      <c r="J672" t="s">
        <v>74</v>
      </c>
      <c r="K672" t="s">
        <v>2901</v>
      </c>
      <c r="L672" t="s">
        <v>77</v>
      </c>
      <c r="M672" t="s">
        <v>78</v>
      </c>
      <c r="N672" t="s">
        <v>421</v>
      </c>
      <c r="O672" t="s">
        <v>2902</v>
      </c>
      <c r="P672" t="s">
        <v>2732</v>
      </c>
      <c r="X672">
        <v>9</v>
      </c>
      <c r="AF672" t="s">
        <v>407</v>
      </c>
      <c r="AG672" t="s">
        <v>296</v>
      </c>
      <c r="AH672" t="s">
        <v>407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1.35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415.71</v>
      </c>
      <c r="BE672">
        <v>0</v>
      </c>
      <c r="BF672">
        <v>360</v>
      </c>
      <c r="BG672">
        <v>0</v>
      </c>
      <c r="BH672">
        <v>0</v>
      </c>
      <c r="BI672">
        <v>72</v>
      </c>
      <c r="BJ672">
        <v>0</v>
      </c>
      <c r="BK672">
        <v>0</v>
      </c>
      <c r="BL672">
        <v>0</v>
      </c>
      <c r="BM672">
        <v>0</v>
      </c>
      <c r="BN672">
        <v>849.06</v>
      </c>
      <c r="BO672">
        <v>135.85</v>
      </c>
      <c r="BP672">
        <v>33.96</v>
      </c>
      <c r="BQ672">
        <f t="shared" si="10"/>
        <v>950.94999999999993</v>
      </c>
      <c r="BR672" t="s">
        <v>423</v>
      </c>
    </row>
    <row r="673" spans="1:70">
      <c r="A673" t="s">
        <v>2903</v>
      </c>
      <c r="B673" t="s">
        <v>2904</v>
      </c>
      <c r="C673" t="s">
        <v>71</v>
      </c>
      <c r="D673" t="s">
        <v>289</v>
      </c>
      <c r="E673" t="s">
        <v>73</v>
      </c>
      <c r="F673" t="s">
        <v>74</v>
      </c>
      <c r="G673">
        <v>241953</v>
      </c>
      <c r="H673" t="s">
        <v>74</v>
      </c>
      <c r="I673" t="s">
        <v>75</v>
      </c>
      <c r="J673" t="s">
        <v>74</v>
      </c>
      <c r="K673" t="s">
        <v>2905</v>
      </c>
      <c r="L673" t="s">
        <v>77</v>
      </c>
      <c r="M673" t="s">
        <v>78</v>
      </c>
      <c r="N673" t="s">
        <v>343</v>
      </c>
      <c r="O673" t="s">
        <v>2906</v>
      </c>
      <c r="P673" t="s">
        <v>2732</v>
      </c>
      <c r="X673">
        <v>6</v>
      </c>
      <c r="AF673" t="s">
        <v>400</v>
      </c>
      <c r="AG673" t="s">
        <v>296</v>
      </c>
      <c r="AH673" t="s">
        <v>400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0.9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92.7</v>
      </c>
      <c r="BE673">
        <v>0</v>
      </c>
      <c r="BF673">
        <v>240</v>
      </c>
      <c r="BG673">
        <v>0</v>
      </c>
      <c r="BH673">
        <v>0</v>
      </c>
      <c r="BI673">
        <v>48</v>
      </c>
      <c r="BJ673">
        <v>0</v>
      </c>
      <c r="BK673">
        <v>0</v>
      </c>
      <c r="BL673">
        <v>0</v>
      </c>
      <c r="BM673">
        <v>0</v>
      </c>
      <c r="BN673">
        <v>381.6</v>
      </c>
      <c r="BO673">
        <v>61.05</v>
      </c>
      <c r="BP673">
        <v>15.27</v>
      </c>
      <c r="BQ673">
        <f t="shared" si="10"/>
        <v>427.38000000000005</v>
      </c>
      <c r="BR673" t="s">
        <v>343</v>
      </c>
    </row>
    <row r="674" spans="1:70">
      <c r="A674" t="s">
        <v>2907</v>
      </c>
      <c r="B674" t="s">
        <v>2908</v>
      </c>
      <c r="C674" t="s">
        <v>71</v>
      </c>
      <c r="D674" t="s">
        <v>289</v>
      </c>
      <c r="E674" t="s">
        <v>73</v>
      </c>
      <c r="F674" t="s">
        <v>74</v>
      </c>
      <c r="G674">
        <v>241965</v>
      </c>
      <c r="H674" t="s">
        <v>74</v>
      </c>
      <c r="I674" t="s">
        <v>75</v>
      </c>
      <c r="J674" t="s">
        <v>74</v>
      </c>
      <c r="K674" t="s">
        <v>2909</v>
      </c>
      <c r="L674" t="s">
        <v>77</v>
      </c>
      <c r="M674" t="s">
        <v>78</v>
      </c>
      <c r="N674" t="s">
        <v>558</v>
      </c>
      <c r="O674" t="s">
        <v>1481</v>
      </c>
      <c r="P674" t="s">
        <v>2732</v>
      </c>
      <c r="X674">
        <v>20</v>
      </c>
      <c r="AF674" t="s">
        <v>384</v>
      </c>
      <c r="AG674" t="s">
        <v>296</v>
      </c>
      <c r="AH674" t="s">
        <v>384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3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923.8</v>
      </c>
      <c r="BE674">
        <v>0</v>
      </c>
      <c r="BF674">
        <v>800</v>
      </c>
      <c r="BG674">
        <v>0</v>
      </c>
      <c r="BH674">
        <v>0</v>
      </c>
      <c r="BI674">
        <v>160</v>
      </c>
      <c r="BJ674">
        <v>0</v>
      </c>
      <c r="BK674">
        <v>0</v>
      </c>
      <c r="BL674">
        <v>0</v>
      </c>
      <c r="BM674">
        <v>0</v>
      </c>
      <c r="BN674">
        <v>1886.8</v>
      </c>
      <c r="BO674">
        <v>301.89</v>
      </c>
      <c r="BP674">
        <v>75.47</v>
      </c>
      <c r="BQ674">
        <f t="shared" si="10"/>
        <v>2113.2200000000003</v>
      </c>
      <c r="BR674" t="s">
        <v>560</v>
      </c>
    </row>
    <row r="675" spans="1:70">
      <c r="A675" t="s">
        <v>2910</v>
      </c>
      <c r="B675" t="s">
        <v>2911</v>
      </c>
      <c r="C675" t="s">
        <v>71</v>
      </c>
      <c r="D675" t="s">
        <v>289</v>
      </c>
      <c r="E675" t="s">
        <v>73</v>
      </c>
      <c r="F675" t="s">
        <v>74</v>
      </c>
      <c r="G675">
        <v>241968</v>
      </c>
      <c r="H675" t="s">
        <v>74</v>
      </c>
      <c r="I675" t="s">
        <v>75</v>
      </c>
      <c r="J675" t="s">
        <v>74</v>
      </c>
      <c r="K675" t="s">
        <v>2912</v>
      </c>
      <c r="L675" t="s">
        <v>77</v>
      </c>
      <c r="M675" t="s">
        <v>78</v>
      </c>
      <c r="N675" t="s">
        <v>406</v>
      </c>
      <c r="O675" t="s">
        <v>2440</v>
      </c>
      <c r="P675" t="s">
        <v>2732</v>
      </c>
      <c r="X675">
        <v>11</v>
      </c>
      <c r="AF675" t="s">
        <v>470</v>
      </c>
      <c r="AG675" t="s">
        <v>296</v>
      </c>
      <c r="AH675" t="s">
        <v>470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1.65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169.95</v>
      </c>
      <c r="BE675">
        <v>0</v>
      </c>
      <c r="BF675">
        <v>440</v>
      </c>
      <c r="BG675">
        <v>0</v>
      </c>
      <c r="BH675">
        <v>0</v>
      </c>
      <c r="BI675">
        <v>88</v>
      </c>
      <c r="BJ675">
        <v>0</v>
      </c>
      <c r="BK675">
        <v>0</v>
      </c>
      <c r="BL675">
        <v>0</v>
      </c>
      <c r="BM675">
        <v>0</v>
      </c>
      <c r="BN675">
        <v>699.6</v>
      </c>
      <c r="BO675">
        <v>111.93</v>
      </c>
      <c r="BP675">
        <v>27.99</v>
      </c>
      <c r="BQ675">
        <f t="shared" si="10"/>
        <v>783.54</v>
      </c>
      <c r="BR675" t="s">
        <v>406</v>
      </c>
    </row>
    <row r="676" spans="1:70">
      <c r="A676" t="s">
        <v>2913</v>
      </c>
      <c r="B676" t="s">
        <v>2914</v>
      </c>
      <c r="C676" t="s">
        <v>71</v>
      </c>
      <c r="D676" t="s">
        <v>289</v>
      </c>
      <c r="E676" t="s">
        <v>73</v>
      </c>
      <c r="F676" t="s">
        <v>74</v>
      </c>
      <c r="G676">
        <v>241970</v>
      </c>
      <c r="H676" t="s">
        <v>74</v>
      </c>
      <c r="I676" t="s">
        <v>75</v>
      </c>
      <c r="J676" t="s">
        <v>74</v>
      </c>
      <c r="K676" t="s">
        <v>2915</v>
      </c>
      <c r="L676" t="s">
        <v>77</v>
      </c>
      <c r="M676" t="s">
        <v>78</v>
      </c>
      <c r="N676" t="s">
        <v>461</v>
      </c>
      <c r="O676" t="s">
        <v>1298</v>
      </c>
      <c r="P676" t="s">
        <v>2732</v>
      </c>
      <c r="X676">
        <v>16</v>
      </c>
      <c r="AF676" t="s">
        <v>482</v>
      </c>
      <c r="AG676" t="s">
        <v>296</v>
      </c>
      <c r="AH676" t="s">
        <v>482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2.4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247.2</v>
      </c>
      <c r="BE676">
        <v>0</v>
      </c>
      <c r="BF676">
        <v>640</v>
      </c>
      <c r="BG676">
        <v>0</v>
      </c>
      <c r="BH676">
        <v>0</v>
      </c>
      <c r="BI676">
        <v>128</v>
      </c>
      <c r="BJ676">
        <v>0</v>
      </c>
      <c r="BK676">
        <v>0</v>
      </c>
      <c r="BL676">
        <v>0</v>
      </c>
      <c r="BM676">
        <v>0</v>
      </c>
      <c r="BN676">
        <v>1017.6</v>
      </c>
      <c r="BO676">
        <v>162.81</v>
      </c>
      <c r="BP676">
        <v>40.71</v>
      </c>
      <c r="BQ676">
        <f t="shared" si="10"/>
        <v>1139.7</v>
      </c>
      <c r="BR676" t="s">
        <v>83</v>
      </c>
    </row>
    <row r="677" spans="1:70">
      <c r="A677" t="s">
        <v>2916</v>
      </c>
      <c r="B677" t="s">
        <v>2917</v>
      </c>
      <c r="C677" t="s">
        <v>71</v>
      </c>
      <c r="D677" t="s">
        <v>289</v>
      </c>
      <c r="E677" t="s">
        <v>73</v>
      </c>
      <c r="F677" t="s">
        <v>74</v>
      </c>
      <c r="G677">
        <v>241971</v>
      </c>
      <c r="H677" t="s">
        <v>74</v>
      </c>
      <c r="I677" t="s">
        <v>75</v>
      </c>
      <c r="J677" t="s">
        <v>74</v>
      </c>
      <c r="K677" t="s">
        <v>2918</v>
      </c>
      <c r="L677" t="s">
        <v>77</v>
      </c>
      <c r="M677" t="s">
        <v>78</v>
      </c>
      <c r="N677" t="s">
        <v>106</v>
      </c>
      <c r="O677" t="s">
        <v>444</v>
      </c>
      <c r="P677" t="s">
        <v>2732</v>
      </c>
      <c r="X677">
        <v>17</v>
      </c>
      <c r="AF677" t="s">
        <v>464</v>
      </c>
      <c r="AG677" t="s">
        <v>296</v>
      </c>
      <c r="AH677" t="s">
        <v>464</v>
      </c>
      <c r="AJ677">
        <v>0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2.5499999999999998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785.23</v>
      </c>
      <c r="BE677">
        <v>0</v>
      </c>
      <c r="BF677">
        <v>680</v>
      </c>
      <c r="BG677">
        <v>0</v>
      </c>
      <c r="BH677">
        <v>0</v>
      </c>
      <c r="BI677">
        <v>136</v>
      </c>
      <c r="BJ677">
        <v>0</v>
      </c>
      <c r="BK677">
        <v>0</v>
      </c>
      <c r="BL677">
        <v>0</v>
      </c>
      <c r="BM677">
        <v>0</v>
      </c>
      <c r="BN677">
        <v>1603.78</v>
      </c>
      <c r="BO677">
        <v>256.61</v>
      </c>
      <c r="BP677">
        <v>64.150000000000006</v>
      </c>
      <c r="BQ677">
        <f t="shared" si="10"/>
        <v>1796.2399999999998</v>
      </c>
      <c r="BR677" t="s">
        <v>106</v>
      </c>
    </row>
    <row r="678" spans="1:70">
      <c r="A678" t="s">
        <v>2919</v>
      </c>
      <c r="B678" t="s">
        <v>2920</v>
      </c>
      <c r="C678" t="s">
        <v>71</v>
      </c>
      <c r="D678" t="s">
        <v>289</v>
      </c>
      <c r="E678" t="s">
        <v>73</v>
      </c>
      <c r="F678" t="s">
        <v>74</v>
      </c>
      <c r="G678">
        <v>241972</v>
      </c>
      <c r="H678" t="s">
        <v>74</v>
      </c>
      <c r="I678" t="s">
        <v>75</v>
      </c>
      <c r="J678" t="s">
        <v>74</v>
      </c>
      <c r="K678" t="s">
        <v>2921</v>
      </c>
      <c r="L678" t="s">
        <v>77</v>
      </c>
      <c r="M678" t="s">
        <v>78</v>
      </c>
      <c r="N678" t="s">
        <v>106</v>
      </c>
      <c r="O678" t="s">
        <v>2922</v>
      </c>
      <c r="P678" t="s">
        <v>2732</v>
      </c>
      <c r="V678">
        <v>1</v>
      </c>
      <c r="AF678" t="s">
        <v>295</v>
      </c>
      <c r="AG678" t="s">
        <v>296</v>
      </c>
      <c r="AH678" t="s">
        <v>295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0.15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423.55</v>
      </c>
      <c r="BE678">
        <v>0</v>
      </c>
      <c r="BF678">
        <v>40</v>
      </c>
      <c r="BG678">
        <v>0</v>
      </c>
      <c r="BH678">
        <v>0</v>
      </c>
      <c r="BI678">
        <v>8</v>
      </c>
      <c r="BJ678">
        <v>0</v>
      </c>
      <c r="BK678">
        <v>0</v>
      </c>
      <c r="BL678">
        <v>0</v>
      </c>
      <c r="BM678">
        <v>0</v>
      </c>
      <c r="BN678">
        <v>471.7</v>
      </c>
      <c r="BO678">
        <v>75.47</v>
      </c>
      <c r="BP678">
        <v>18.87</v>
      </c>
      <c r="BQ678">
        <f t="shared" si="10"/>
        <v>528.29999999999995</v>
      </c>
      <c r="BR678" t="s">
        <v>106</v>
      </c>
    </row>
    <row r="679" spans="1:70">
      <c r="A679" t="s">
        <v>2923</v>
      </c>
      <c r="B679" t="s">
        <v>2924</v>
      </c>
      <c r="C679" t="s">
        <v>71</v>
      </c>
      <c r="D679" t="s">
        <v>289</v>
      </c>
      <c r="E679" t="s">
        <v>73</v>
      </c>
      <c r="F679" t="s">
        <v>74</v>
      </c>
      <c r="G679">
        <v>241788</v>
      </c>
      <c r="H679" t="s">
        <v>74</v>
      </c>
      <c r="I679" t="s">
        <v>75</v>
      </c>
      <c r="J679" t="s">
        <v>74</v>
      </c>
      <c r="K679" t="s">
        <v>2925</v>
      </c>
      <c r="L679" t="s">
        <v>77</v>
      </c>
      <c r="M679" t="s">
        <v>78</v>
      </c>
      <c r="N679" t="s">
        <v>2033</v>
      </c>
      <c r="O679" t="s">
        <v>2034</v>
      </c>
      <c r="P679" t="s">
        <v>2732</v>
      </c>
      <c r="T679">
        <v>1</v>
      </c>
      <c r="AF679" t="s">
        <v>823</v>
      </c>
      <c r="AG679" t="s">
        <v>296</v>
      </c>
      <c r="AH679" t="s">
        <v>823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36.46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1529.21</v>
      </c>
      <c r="BE679">
        <v>0</v>
      </c>
      <c r="BF679">
        <v>458.08</v>
      </c>
      <c r="BG679">
        <v>0</v>
      </c>
      <c r="BH679">
        <v>0</v>
      </c>
      <c r="BI679">
        <v>421.62</v>
      </c>
      <c r="BJ679">
        <v>0</v>
      </c>
      <c r="BK679">
        <v>0</v>
      </c>
      <c r="BL679">
        <v>0</v>
      </c>
      <c r="BM679">
        <v>0</v>
      </c>
      <c r="BN679">
        <v>2445.37</v>
      </c>
      <c r="BO679">
        <v>391.25</v>
      </c>
      <c r="BP679">
        <v>97.81</v>
      </c>
      <c r="BQ679">
        <f t="shared" si="10"/>
        <v>2738.81</v>
      </c>
      <c r="BR679" t="s">
        <v>332</v>
      </c>
    </row>
    <row r="680" spans="1:70">
      <c r="A680" t="s">
        <v>2926</v>
      </c>
      <c r="B680" t="s">
        <v>2927</v>
      </c>
      <c r="C680" t="s">
        <v>71</v>
      </c>
      <c r="D680" t="s">
        <v>289</v>
      </c>
      <c r="E680" t="s">
        <v>73</v>
      </c>
      <c r="F680" t="s">
        <v>74</v>
      </c>
      <c r="G680">
        <v>241837</v>
      </c>
      <c r="H680" t="s">
        <v>74</v>
      </c>
      <c r="I680" t="s">
        <v>75</v>
      </c>
      <c r="J680" t="s">
        <v>74</v>
      </c>
      <c r="K680" t="s">
        <v>2928</v>
      </c>
      <c r="L680" t="s">
        <v>77</v>
      </c>
      <c r="M680" t="s">
        <v>78</v>
      </c>
      <c r="N680" t="s">
        <v>337</v>
      </c>
      <c r="O680" t="s">
        <v>2929</v>
      </c>
      <c r="P680" t="s">
        <v>2732</v>
      </c>
      <c r="X680">
        <v>12</v>
      </c>
      <c r="AF680" t="s">
        <v>379</v>
      </c>
      <c r="AG680" t="s">
        <v>296</v>
      </c>
      <c r="AH680" t="s">
        <v>379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1.8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554.28</v>
      </c>
      <c r="BE680">
        <v>0</v>
      </c>
      <c r="BF680">
        <v>480</v>
      </c>
      <c r="BG680">
        <v>0</v>
      </c>
      <c r="BH680">
        <v>0</v>
      </c>
      <c r="BI680">
        <v>96</v>
      </c>
      <c r="BJ680">
        <v>0</v>
      </c>
      <c r="BK680">
        <v>0</v>
      </c>
      <c r="BL680">
        <v>0</v>
      </c>
      <c r="BM680">
        <v>0</v>
      </c>
      <c r="BN680">
        <v>1132.08</v>
      </c>
      <c r="BO680">
        <v>181.13</v>
      </c>
      <c r="BP680">
        <v>45.28</v>
      </c>
      <c r="BQ680">
        <f t="shared" si="10"/>
        <v>1267.93</v>
      </c>
      <c r="BR680" t="s">
        <v>337</v>
      </c>
    </row>
    <row r="681" spans="1:70">
      <c r="A681" t="s">
        <v>2930</v>
      </c>
      <c r="B681" t="s">
        <v>2931</v>
      </c>
      <c r="C681" t="s">
        <v>71</v>
      </c>
      <c r="D681" t="s">
        <v>289</v>
      </c>
      <c r="E681" t="s">
        <v>73</v>
      </c>
      <c r="F681" t="s">
        <v>74</v>
      </c>
      <c r="G681">
        <v>241935</v>
      </c>
      <c r="H681" t="s">
        <v>74</v>
      </c>
      <c r="I681" t="s">
        <v>75</v>
      </c>
      <c r="K681" t="s">
        <v>2932</v>
      </c>
      <c r="L681" t="s">
        <v>77</v>
      </c>
      <c r="M681" t="s">
        <v>78</v>
      </c>
      <c r="N681" t="s">
        <v>349</v>
      </c>
      <c r="O681" t="s">
        <v>1194</v>
      </c>
      <c r="P681" t="s">
        <v>2732</v>
      </c>
      <c r="X681">
        <v>15</v>
      </c>
      <c r="AF681" t="s">
        <v>235</v>
      </c>
      <c r="AG681" t="s">
        <v>296</v>
      </c>
      <c r="AH681" t="s">
        <v>235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2.25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692.85</v>
      </c>
      <c r="BE681">
        <v>0</v>
      </c>
      <c r="BF681">
        <v>600</v>
      </c>
      <c r="BG681">
        <v>0</v>
      </c>
      <c r="BH681">
        <v>0</v>
      </c>
      <c r="BI681">
        <v>120</v>
      </c>
      <c r="BJ681">
        <v>0</v>
      </c>
      <c r="BK681">
        <v>0</v>
      </c>
      <c r="BL681">
        <v>0</v>
      </c>
      <c r="BM681">
        <v>0</v>
      </c>
      <c r="BN681">
        <v>1415.1</v>
      </c>
      <c r="BO681">
        <v>226.42</v>
      </c>
      <c r="BP681">
        <v>56.6</v>
      </c>
      <c r="BQ681">
        <f t="shared" si="10"/>
        <v>1584.92</v>
      </c>
      <c r="BR681" t="s">
        <v>349</v>
      </c>
    </row>
    <row r="682" spans="1:70">
      <c r="A682" t="s">
        <v>2933</v>
      </c>
      <c r="B682" t="s">
        <v>2934</v>
      </c>
      <c r="C682" t="s">
        <v>71</v>
      </c>
      <c r="D682" t="s">
        <v>289</v>
      </c>
      <c r="E682" t="s">
        <v>73</v>
      </c>
      <c r="F682" t="s">
        <v>74</v>
      </c>
      <c r="G682">
        <v>241936</v>
      </c>
      <c r="H682" t="s">
        <v>74</v>
      </c>
      <c r="I682" t="s">
        <v>75</v>
      </c>
      <c r="J682" t="s">
        <v>74</v>
      </c>
      <c r="K682" t="s">
        <v>2935</v>
      </c>
      <c r="L682" t="s">
        <v>77</v>
      </c>
      <c r="M682" t="s">
        <v>78</v>
      </c>
      <c r="N682" t="s">
        <v>406</v>
      </c>
      <c r="O682" t="s">
        <v>1172</v>
      </c>
      <c r="P682" t="s">
        <v>2732</v>
      </c>
      <c r="X682">
        <v>18</v>
      </c>
      <c r="AF682" t="s">
        <v>395</v>
      </c>
      <c r="AG682" t="s">
        <v>296</v>
      </c>
      <c r="AH682" t="s">
        <v>395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2.7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278.10000000000002</v>
      </c>
      <c r="BE682">
        <v>0</v>
      </c>
      <c r="BF682">
        <v>720</v>
      </c>
      <c r="BG682">
        <v>0</v>
      </c>
      <c r="BH682">
        <v>0</v>
      </c>
      <c r="BI682">
        <v>144</v>
      </c>
      <c r="BJ682">
        <v>0</v>
      </c>
      <c r="BK682">
        <v>0</v>
      </c>
      <c r="BL682">
        <v>0</v>
      </c>
      <c r="BM682">
        <v>0</v>
      </c>
      <c r="BN682">
        <v>1144.8</v>
      </c>
      <c r="BO682">
        <v>183.17</v>
      </c>
      <c r="BP682">
        <v>45.79</v>
      </c>
      <c r="BQ682">
        <f t="shared" si="10"/>
        <v>1282.18</v>
      </c>
      <c r="BR682" t="s">
        <v>406</v>
      </c>
    </row>
    <row r="683" spans="1:70">
      <c r="A683" t="s">
        <v>2936</v>
      </c>
      <c r="B683" t="s">
        <v>2937</v>
      </c>
      <c r="C683" t="s">
        <v>71</v>
      </c>
      <c r="D683" t="s">
        <v>289</v>
      </c>
      <c r="E683" t="s">
        <v>73</v>
      </c>
      <c r="F683" t="s">
        <v>74</v>
      </c>
      <c r="G683">
        <v>241937</v>
      </c>
      <c r="H683" t="s">
        <v>74</v>
      </c>
      <c r="I683" t="s">
        <v>75</v>
      </c>
      <c r="J683" t="s">
        <v>74</v>
      </c>
      <c r="K683" t="s">
        <v>2938</v>
      </c>
      <c r="L683" t="s">
        <v>77</v>
      </c>
      <c r="M683" t="s">
        <v>78</v>
      </c>
      <c r="N683" t="s">
        <v>586</v>
      </c>
      <c r="O683" t="s">
        <v>2823</v>
      </c>
      <c r="P683" t="s">
        <v>2732</v>
      </c>
      <c r="X683">
        <v>8</v>
      </c>
      <c r="AF683" t="s">
        <v>1006</v>
      </c>
      <c r="AG683" t="s">
        <v>296</v>
      </c>
      <c r="AH683" t="s">
        <v>1006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1.2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369.52</v>
      </c>
      <c r="BE683">
        <v>0</v>
      </c>
      <c r="BF683">
        <v>320</v>
      </c>
      <c r="BG683">
        <v>0</v>
      </c>
      <c r="BH683">
        <v>0</v>
      </c>
      <c r="BI683">
        <v>64</v>
      </c>
      <c r="BJ683">
        <v>0</v>
      </c>
      <c r="BK683">
        <v>0</v>
      </c>
      <c r="BL683">
        <v>0</v>
      </c>
      <c r="BM683">
        <v>0</v>
      </c>
      <c r="BN683">
        <v>754.72</v>
      </c>
      <c r="BO683">
        <v>120.75</v>
      </c>
      <c r="BP683">
        <v>30.19</v>
      </c>
      <c r="BQ683">
        <f t="shared" si="10"/>
        <v>845.28</v>
      </c>
      <c r="BR683" t="s">
        <v>586</v>
      </c>
    </row>
    <row r="684" spans="1:70">
      <c r="A684" t="s">
        <v>2939</v>
      </c>
      <c r="B684" t="s">
        <v>2940</v>
      </c>
      <c r="C684" t="s">
        <v>71</v>
      </c>
      <c r="D684" t="s">
        <v>289</v>
      </c>
      <c r="E684" t="s">
        <v>73</v>
      </c>
      <c r="F684" t="s">
        <v>74</v>
      </c>
      <c r="G684">
        <v>241938</v>
      </c>
      <c r="H684" t="s">
        <v>74</v>
      </c>
      <c r="I684" t="s">
        <v>75</v>
      </c>
      <c r="J684" t="s">
        <v>74</v>
      </c>
      <c r="K684" t="s">
        <v>2941</v>
      </c>
      <c r="L684" t="s">
        <v>77</v>
      </c>
      <c r="M684" t="s">
        <v>78</v>
      </c>
      <c r="N684" t="s">
        <v>1570</v>
      </c>
      <c r="O684" t="s">
        <v>1571</v>
      </c>
      <c r="P684" t="s">
        <v>2732</v>
      </c>
      <c r="X684">
        <v>27</v>
      </c>
      <c r="AF684" t="s">
        <v>868</v>
      </c>
      <c r="AG684" t="s">
        <v>296</v>
      </c>
      <c r="AH684" t="s">
        <v>868</v>
      </c>
      <c r="AJ684">
        <v>0</v>
      </c>
      <c r="AK684">
        <v>0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4.05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1247.1300000000001</v>
      </c>
      <c r="BE684">
        <v>0</v>
      </c>
      <c r="BF684">
        <v>1080</v>
      </c>
      <c r="BG684">
        <v>0</v>
      </c>
      <c r="BH684">
        <v>0</v>
      </c>
      <c r="BI684">
        <v>216</v>
      </c>
      <c r="BJ684">
        <v>0</v>
      </c>
      <c r="BK684">
        <v>0</v>
      </c>
      <c r="BL684">
        <v>0</v>
      </c>
      <c r="BM684">
        <v>0</v>
      </c>
      <c r="BN684">
        <v>2547.1799999999998</v>
      </c>
      <c r="BO684">
        <v>407.55</v>
      </c>
      <c r="BP684">
        <v>101.89</v>
      </c>
      <c r="BQ684">
        <f t="shared" si="10"/>
        <v>2852.84</v>
      </c>
      <c r="BR684" t="s">
        <v>1570</v>
      </c>
    </row>
    <row r="685" spans="1:70">
      <c r="A685" t="s">
        <v>2942</v>
      </c>
      <c r="B685" t="s">
        <v>2943</v>
      </c>
      <c r="C685" t="s">
        <v>71</v>
      </c>
      <c r="D685" t="s">
        <v>289</v>
      </c>
      <c r="E685" t="s">
        <v>73</v>
      </c>
      <c r="F685" t="s">
        <v>74</v>
      </c>
      <c r="G685">
        <v>241939</v>
      </c>
      <c r="H685" t="s">
        <v>74</v>
      </c>
      <c r="I685" t="s">
        <v>75</v>
      </c>
      <c r="J685" t="s">
        <v>74</v>
      </c>
      <c r="K685" t="s">
        <v>2944</v>
      </c>
      <c r="L685" t="s">
        <v>77</v>
      </c>
      <c r="M685" t="s">
        <v>78</v>
      </c>
      <c r="N685" t="s">
        <v>106</v>
      </c>
      <c r="O685" t="s">
        <v>2945</v>
      </c>
      <c r="P685" t="s">
        <v>2732</v>
      </c>
      <c r="T685">
        <v>2</v>
      </c>
      <c r="AF685" t="s">
        <v>808</v>
      </c>
      <c r="AG685" t="s">
        <v>296</v>
      </c>
      <c r="AH685" t="s">
        <v>808</v>
      </c>
      <c r="AJ685">
        <v>0</v>
      </c>
      <c r="AK685">
        <v>0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72.92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4587.6400000000003</v>
      </c>
      <c r="BE685">
        <v>0</v>
      </c>
      <c r="BF685">
        <v>916.16</v>
      </c>
      <c r="BG685">
        <v>0</v>
      </c>
      <c r="BH685">
        <v>0</v>
      </c>
      <c r="BI685">
        <v>843.24</v>
      </c>
      <c r="BJ685">
        <v>0</v>
      </c>
      <c r="BK685">
        <v>0</v>
      </c>
      <c r="BL685">
        <v>0</v>
      </c>
      <c r="BM685">
        <v>0</v>
      </c>
      <c r="BN685">
        <v>6419.96</v>
      </c>
      <c r="BO685">
        <v>1027.2</v>
      </c>
      <c r="BP685">
        <v>256.81</v>
      </c>
      <c r="BQ685">
        <f t="shared" si="10"/>
        <v>7190.3499999999995</v>
      </c>
      <c r="BR685" t="s">
        <v>106</v>
      </c>
    </row>
    <row r="686" spans="1:70">
      <c r="A686" t="s">
        <v>2946</v>
      </c>
      <c r="B686" t="s">
        <v>2947</v>
      </c>
      <c r="C686" t="s">
        <v>71</v>
      </c>
      <c r="D686" t="s">
        <v>289</v>
      </c>
      <c r="E686" t="s">
        <v>73</v>
      </c>
      <c r="F686" t="s">
        <v>74</v>
      </c>
      <c r="G686">
        <v>241947</v>
      </c>
      <c r="I686" t="s">
        <v>75</v>
      </c>
      <c r="K686" t="s">
        <v>2948</v>
      </c>
      <c r="L686" t="s">
        <v>77</v>
      </c>
      <c r="M686" t="s">
        <v>78</v>
      </c>
      <c r="N686" t="s">
        <v>324</v>
      </c>
      <c r="O686" t="s">
        <v>2949</v>
      </c>
      <c r="P686" t="s">
        <v>2732</v>
      </c>
      <c r="Z686">
        <v>2</v>
      </c>
      <c r="AF686" t="s">
        <v>339</v>
      </c>
      <c r="AG686" t="s">
        <v>296</v>
      </c>
      <c r="AH686" t="s">
        <v>339</v>
      </c>
      <c r="AJ686">
        <v>0</v>
      </c>
      <c r="AK686">
        <v>0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0.3</v>
      </c>
      <c r="AT686">
        <v>0</v>
      </c>
      <c r="AU686">
        <v>0</v>
      </c>
      <c r="AV686">
        <v>52.58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375.4</v>
      </c>
      <c r="BE686">
        <v>0</v>
      </c>
      <c r="BF686">
        <v>80</v>
      </c>
      <c r="BG686">
        <v>0</v>
      </c>
      <c r="BH686">
        <v>0</v>
      </c>
      <c r="BI686">
        <v>16</v>
      </c>
      <c r="BJ686">
        <v>0</v>
      </c>
      <c r="BK686">
        <v>0</v>
      </c>
      <c r="BL686">
        <v>0</v>
      </c>
      <c r="BM686">
        <v>0</v>
      </c>
      <c r="BN686">
        <v>524.28</v>
      </c>
      <c r="BO686">
        <v>83.88</v>
      </c>
      <c r="BP686">
        <v>18.87</v>
      </c>
      <c r="BQ686">
        <f t="shared" si="10"/>
        <v>589.29</v>
      </c>
      <c r="BR686" t="s">
        <v>324</v>
      </c>
    </row>
    <row r="687" spans="1:70">
      <c r="A687" t="s">
        <v>2950</v>
      </c>
      <c r="B687" t="s">
        <v>2951</v>
      </c>
      <c r="C687" t="s">
        <v>71</v>
      </c>
      <c r="D687" t="s">
        <v>289</v>
      </c>
      <c r="E687" t="s">
        <v>73</v>
      </c>
      <c r="F687" t="s">
        <v>74</v>
      </c>
      <c r="G687">
        <v>242012</v>
      </c>
      <c r="H687" t="s">
        <v>74</v>
      </c>
      <c r="I687" t="s">
        <v>75</v>
      </c>
      <c r="J687" t="s">
        <v>74</v>
      </c>
      <c r="K687" t="s">
        <v>2952</v>
      </c>
      <c r="L687" t="s">
        <v>77</v>
      </c>
      <c r="M687" t="s">
        <v>78</v>
      </c>
      <c r="N687" t="s">
        <v>614</v>
      </c>
      <c r="O687" t="s">
        <v>615</v>
      </c>
      <c r="P687" t="s">
        <v>2953</v>
      </c>
      <c r="X687">
        <v>11</v>
      </c>
      <c r="AF687" t="s">
        <v>470</v>
      </c>
      <c r="AG687" t="s">
        <v>296</v>
      </c>
      <c r="AH687" t="s">
        <v>470</v>
      </c>
      <c r="AJ687">
        <v>0</v>
      </c>
      <c r="AK687">
        <v>0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1.65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508.09</v>
      </c>
      <c r="BE687">
        <v>0</v>
      </c>
      <c r="BF687">
        <v>440</v>
      </c>
      <c r="BG687">
        <v>0</v>
      </c>
      <c r="BH687">
        <v>0</v>
      </c>
      <c r="BI687">
        <v>88</v>
      </c>
      <c r="BJ687">
        <v>0</v>
      </c>
      <c r="BK687">
        <v>0</v>
      </c>
      <c r="BL687">
        <v>0</v>
      </c>
      <c r="BM687">
        <v>0</v>
      </c>
      <c r="BN687">
        <v>1037.74</v>
      </c>
      <c r="BO687">
        <v>166.03</v>
      </c>
      <c r="BP687">
        <v>41.51</v>
      </c>
      <c r="BQ687">
        <f t="shared" si="10"/>
        <v>1162.26</v>
      </c>
      <c r="BR687" t="s">
        <v>616</v>
      </c>
    </row>
    <row r="688" spans="1:70">
      <c r="A688" t="s">
        <v>2954</v>
      </c>
      <c r="B688" t="s">
        <v>2955</v>
      </c>
      <c r="C688" t="s">
        <v>71</v>
      </c>
      <c r="D688" t="s">
        <v>289</v>
      </c>
      <c r="E688" t="s">
        <v>73</v>
      </c>
      <c r="F688" t="s">
        <v>74</v>
      </c>
      <c r="G688">
        <v>242001</v>
      </c>
      <c r="H688" t="s">
        <v>74</v>
      </c>
      <c r="I688" t="s">
        <v>75</v>
      </c>
      <c r="J688" t="s">
        <v>74</v>
      </c>
      <c r="K688" t="s">
        <v>2956</v>
      </c>
      <c r="L688" t="s">
        <v>77</v>
      </c>
      <c r="M688" t="s">
        <v>78</v>
      </c>
      <c r="N688" t="s">
        <v>432</v>
      </c>
      <c r="O688" t="s">
        <v>779</v>
      </c>
      <c r="P688" t="s">
        <v>2953</v>
      </c>
      <c r="X688">
        <v>10</v>
      </c>
      <c r="AF688" t="s">
        <v>372</v>
      </c>
      <c r="AG688" t="s">
        <v>296</v>
      </c>
      <c r="AH688" t="s">
        <v>372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1.5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461.9</v>
      </c>
      <c r="BE688">
        <v>0</v>
      </c>
      <c r="BF688">
        <v>400</v>
      </c>
      <c r="BG688">
        <v>0</v>
      </c>
      <c r="BH688">
        <v>0</v>
      </c>
      <c r="BI688">
        <v>80</v>
      </c>
      <c r="BJ688">
        <v>0</v>
      </c>
      <c r="BK688">
        <v>0</v>
      </c>
      <c r="BL688">
        <v>0</v>
      </c>
      <c r="BM688">
        <v>0</v>
      </c>
      <c r="BN688">
        <v>943.4</v>
      </c>
      <c r="BO688">
        <v>150.94</v>
      </c>
      <c r="BP688">
        <v>37.74</v>
      </c>
      <c r="BQ688">
        <f t="shared" si="10"/>
        <v>1056.5999999999999</v>
      </c>
      <c r="BR688" t="s">
        <v>432</v>
      </c>
    </row>
    <row r="689" spans="1:70">
      <c r="A689" t="s">
        <v>2957</v>
      </c>
      <c r="B689" t="s">
        <v>2958</v>
      </c>
      <c r="C689" t="s">
        <v>71</v>
      </c>
      <c r="D689" t="s">
        <v>289</v>
      </c>
      <c r="E689" t="s">
        <v>73</v>
      </c>
      <c r="F689" t="s">
        <v>74</v>
      </c>
      <c r="G689">
        <v>241906</v>
      </c>
      <c r="H689" t="s">
        <v>74</v>
      </c>
      <c r="I689" t="s">
        <v>75</v>
      </c>
      <c r="J689" t="s">
        <v>74</v>
      </c>
      <c r="K689" t="s">
        <v>2959</v>
      </c>
      <c r="L689" t="s">
        <v>77</v>
      </c>
      <c r="M689" t="s">
        <v>78</v>
      </c>
      <c r="N689" t="s">
        <v>250</v>
      </c>
      <c r="O689" t="s">
        <v>1645</v>
      </c>
      <c r="P689" t="s">
        <v>2953</v>
      </c>
      <c r="X689">
        <v>14</v>
      </c>
      <c r="AF689" t="s">
        <v>413</v>
      </c>
      <c r="AG689" t="s">
        <v>296</v>
      </c>
      <c r="AH689" t="s">
        <v>413</v>
      </c>
      <c r="AJ689">
        <v>0</v>
      </c>
      <c r="AK689">
        <v>0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2.1</v>
      </c>
      <c r="AT689">
        <v>0</v>
      </c>
      <c r="AU689">
        <v>0</v>
      </c>
      <c r="AV689">
        <v>368.06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646.66</v>
      </c>
      <c r="BE689">
        <v>0</v>
      </c>
      <c r="BF689">
        <v>560</v>
      </c>
      <c r="BG689">
        <v>0</v>
      </c>
      <c r="BH689">
        <v>0</v>
      </c>
      <c r="BI689">
        <v>112</v>
      </c>
      <c r="BJ689">
        <v>0</v>
      </c>
      <c r="BK689">
        <v>0</v>
      </c>
      <c r="BL689">
        <v>0</v>
      </c>
      <c r="BM689">
        <v>0</v>
      </c>
      <c r="BN689">
        <v>1688.82</v>
      </c>
      <c r="BO689">
        <v>270.22000000000003</v>
      </c>
      <c r="BP689">
        <v>52.83</v>
      </c>
      <c r="BQ689">
        <f t="shared" si="10"/>
        <v>1906.21</v>
      </c>
      <c r="BR689" t="s">
        <v>253</v>
      </c>
    </row>
    <row r="690" spans="1:70">
      <c r="A690" t="s">
        <v>2960</v>
      </c>
      <c r="B690" t="s">
        <v>2961</v>
      </c>
      <c r="C690" t="s">
        <v>71</v>
      </c>
      <c r="D690" t="s">
        <v>289</v>
      </c>
      <c r="E690" t="s">
        <v>73</v>
      </c>
      <c r="F690" t="s">
        <v>74</v>
      </c>
      <c r="G690" t="s">
        <v>2962</v>
      </c>
      <c r="H690" t="s">
        <v>74</v>
      </c>
      <c r="I690" t="s">
        <v>75</v>
      </c>
      <c r="J690" t="s">
        <v>74</v>
      </c>
      <c r="K690" t="s">
        <v>2963</v>
      </c>
      <c r="L690" t="s">
        <v>77</v>
      </c>
      <c r="M690" t="s">
        <v>78</v>
      </c>
      <c r="N690" t="s">
        <v>748</v>
      </c>
      <c r="O690" t="s">
        <v>2964</v>
      </c>
      <c r="P690" t="s">
        <v>2953</v>
      </c>
      <c r="T690">
        <v>1</v>
      </c>
      <c r="AF690" t="s">
        <v>823</v>
      </c>
      <c r="AG690" t="s">
        <v>296</v>
      </c>
      <c r="AH690" t="s">
        <v>823</v>
      </c>
      <c r="AJ690">
        <v>0</v>
      </c>
      <c r="AK690">
        <v>0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36.46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1071.1300000000001</v>
      </c>
      <c r="BE690">
        <v>0</v>
      </c>
      <c r="BF690">
        <v>458.08</v>
      </c>
      <c r="BG690">
        <v>0</v>
      </c>
      <c r="BH690">
        <v>0</v>
      </c>
      <c r="BI690">
        <v>421.62</v>
      </c>
      <c r="BJ690">
        <v>0</v>
      </c>
      <c r="BK690">
        <v>0</v>
      </c>
      <c r="BL690">
        <v>0</v>
      </c>
      <c r="BM690">
        <v>0</v>
      </c>
      <c r="BN690">
        <v>1987.29</v>
      </c>
      <c r="BO690">
        <v>317.95999999999998</v>
      </c>
      <c r="BP690">
        <v>79.489999999999995</v>
      </c>
      <c r="BQ690">
        <f t="shared" si="10"/>
        <v>2225.7600000000002</v>
      </c>
      <c r="BR690" t="s">
        <v>748</v>
      </c>
    </row>
    <row r="691" spans="1:70">
      <c r="A691" t="s">
        <v>2965</v>
      </c>
      <c r="B691" t="s">
        <v>2966</v>
      </c>
      <c r="C691" t="s">
        <v>71</v>
      </c>
      <c r="D691" t="s">
        <v>289</v>
      </c>
      <c r="E691" t="s">
        <v>73</v>
      </c>
      <c r="F691" t="s">
        <v>74</v>
      </c>
      <c r="G691">
        <v>242101</v>
      </c>
      <c r="H691" t="s">
        <v>74</v>
      </c>
      <c r="I691" t="s">
        <v>1809</v>
      </c>
      <c r="J691" t="s">
        <v>74</v>
      </c>
      <c r="K691" t="s">
        <v>2967</v>
      </c>
      <c r="L691" t="s">
        <v>77</v>
      </c>
      <c r="M691" t="s">
        <v>78</v>
      </c>
      <c r="N691" t="s">
        <v>748</v>
      </c>
      <c r="O691" t="s">
        <v>2968</v>
      </c>
      <c r="P691" t="s">
        <v>2953</v>
      </c>
      <c r="X691">
        <v>8</v>
      </c>
      <c r="AF691" t="s">
        <v>1006</v>
      </c>
      <c r="AG691" t="s">
        <v>296</v>
      </c>
      <c r="AH691" t="s">
        <v>1006</v>
      </c>
      <c r="AJ691">
        <v>0</v>
      </c>
      <c r="AK691">
        <v>0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1.2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123.6</v>
      </c>
      <c r="BE691">
        <v>0</v>
      </c>
      <c r="BF691">
        <v>320</v>
      </c>
      <c r="BG691">
        <v>0</v>
      </c>
      <c r="BH691">
        <v>0</v>
      </c>
      <c r="BI691">
        <v>64</v>
      </c>
      <c r="BJ691">
        <v>0</v>
      </c>
      <c r="BK691">
        <v>0</v>
      </c>
      <c r="BL691">
        <v>0</v>
      </c>
      <c r="BM691">
        <v>0</v>
      </c>
      <c r="BN691">
        <v>508.8</v>
      </c>
      <c r="BO691">
        <v>81.41</v>
      </c>
      <c r="BP691">
        <v>20.350000000000001</v>
      </c>
      <c r="BQ691">
        <f t="shared" si="10"/>
        <v>569.86</v>
      </c>
      <c r="BR691" t="s">
        <v>748</v>
      </c>
    </row>
    <row r="692" spans="1:70">
      <c r="A692" t="s">
        <v>2969</v>
      </c>
      <c r="B692" t="s">
        <v>2970</v>
      </c>
      <c r="C692" t="s">
        <v>71</v>
      </c>
      <c r="D692" t="s">
        <v>289</v>
      </c>
      <c r="E692" t="s">
        <v>73</v>
      </c>
      <c r="F692" t="s">
        <v>74</v>
      </c>
      <c r="G692">
        <v>242100</v>
      </c>
      <c r="H692" t="s">
        <v>74</v>
      </c>
      <c r="I692" t="s">
        <v>75</v>
      </c>
      <c r="J692" t="s">
        <v>74</v>
      </c>
      <c r="K692" t="s">
        <v>2971</v>
      </c>
      <c r="L692" t="s">
        <v>77</v>
      </c>
      <c r="M692" t="s">
        <v>78</v>
      </c>
      <c r="N692" t="s">
        <v>330</v>
      </c>
      <c r="O692" t="s">
        <v>2972</v>
      </c>
      <c r="P692" t="s">
        <v>2953</v>
      </c>
      <c r="X692">
        <v>17</v>
      </c>
      <c r="AF692" t="s">
        <v>464</v>
      </c>
      <c r="AG692" t="s">
        <v>296</v>
      </c>
      <c r="AH692" t="s">
        <v>464</v>
      </c>
      <c r="AJ692">
        <v>0</v>
      </c>
      <c r="AK692">
        <v>0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2.5499999999999998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785.23</v>
      </c>
      <c r="BE692">
        <v>0</v>
      </c>
      <c r="BF692">
        <v>680</v>
      </c>
      <c r="BG692">
        <v>0</v>
      </c>
      <c r="BH692">
        <v>0</v>
      </c>
      <c r="BI692">
        <v>136</v>
      </c>
      <c r="BJ692">
        <v>0</v>
      </c>
      <c r="BK692">
        <v>0</v>
      </c>
      <c r="BL692">
        <v>0</v>
      </c>
      <c r="BM692">
        <v>0</v>
      </c>
      <c r="BN692">
        <v>1603.78</v>
      </c>
      <c r="BO692">
        <v>256.61</v>
      </c>
      <c r="BP692">
        <v>64.150000000000006</v>
      </c>
      <c r="BQ692">
        <f t="shared" si="10"/>
        <v>1796.2399999999998</v>
      </c>
      <c r="BR692" t="s">
        <v>332</v>
      </c>
    </row>
    <row r="693" spans="1:70">
      <c r="A693" t="s">
        <v>2973</v>
      </c>
      <c r="B693" t="s">
        <v>2974</v>
      </c>
      <c r="C693" t="s">
        <v>71</v>
      </c>
      <c r="D693" t="s">
        <v>289</v>
      </c>
      <c r="E693" t="s">
        <v>73</v>
      </c>
      <c r="F693" t="s">
        <v>74</v>
      </c>
      <c r="G693">
        <v>242152</v>
      </c>
      <c r="H693" t="s">
        <v>74</v>
      </c>
      <c r="I693" t="s">
        <v>75</v>
      </c>
      <c r="K693" t="s">
        <v>2975</v>
      </c>
      <c r="L693" t="s">
        <v>77</v>
      </c>
      <c r="M693" t="s">
        <v>78</v>
      </c>
      <c r="N693" t="s">
        <v>748</v>
      </c>
      <c r="O693" t="s">
        <v>1026</v>
      </c>
      <c r="P693" t="s">
        <v>2953</v>
      </c>
      <c r="T693">
        <v>2</v>
      </c>
      <c r="AF693" t="s">
        <v>808</v>
      </c>
      <c r="AG693" t="s">
        <v>296</v>
      </c>
      <c r="AH693" t="s">
        <v>808</v>
      </c>
      <c r="AJ693">
        <v>0</v>
      </c>
      <c r="AK693">
        <v>0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72.92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2142.2600000000002</v>
      </c>
      <c r="BE693">
        <v>0</v>
      </c>
      <c r="BF693">
        <v>916.16</v>
      </c>
      <c r="BG693">
        <v>0</v>
      </c>
      <c r="BH693">
        <v>0</v>
      </c>
      <c r="BI693">
        <v>843.24</v>
      </c>
      <c r="BJ693">
        <v>0</v>
      </c>
      <c r="BK693">
        <v>0</v>
      </c>
      <c r="BL693">
        <v>0</v>
      </c>
      <c r="BM693">
        <v>0</v>
      </c>
      <c r="BN693">
        <v>3974.58</v>
      </c>
      <c r="BO693">
        <v>635.94000000000005</v>
      </c>
      <c r="BP693">
        <v>158.99</v>
      </c>
      <c r="BQ693">
        <f t="shared" si="10"/>
        <v>4451.5300000000007</v>
      </c>
      <c r="BR693" t="s">
        <v>748</v>
      </c>
    </row>
    <row r="694" spans="1:70">
      <c r="A694" t="s">
        <v>2976</v>
      </c>
      <c r="B694" t="s">
        <v>2977</v>
      </c>
      <c r="C694" t="s">
        <v>71</v>
      </c>
      <c r="D694" t="s">
        <v>289</v>
      </c>
      <c r="E694" t="s">
        <v>73</v>
      </c>
      <c r="F694" t="s">
        <v>74</v>
      </c>
      <c r="G694">
        <v>241975</v>
      </c>
      <c r="H694" t="s">
        <v>74</v>
      </c>
      <c r="I694" t="s">
        <v>75</v>
      </c>
      <c r="J694" t="s">
        <v>74</v>
      </c>
      <c r="K694" t="s">
        <v>2978</v>
      </c>
      <c r="L694" t="s">
        <v>77</v>
      </c>
      <c r="M694" t="s">
        <v>78</v>
      </c>
      <c r="N694" t="s">
        <v>117</v>
      </c>
      <c r="O694" t="s">
        <v>2979</v>
      </c>
      <c r="P694" t="s">
        <v>2953</v>
      </c>
      <c r="X694">
        <v>5</v>
      </c>
      <c r="AF694" t="s">
        <v>333</v>
      </c>
      <c r="AG694" t="s">
        <v>296</v>
      </c>
      <c r="AH694" t="s">
        <v>333</v>
      </c>
      <c r="AJ694">
        <v>0</v>
      </c>
      <c r="AK694">
        <v>0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0.75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230.95</v>
      </c>
      <c r="BE694">
        <v>0</v>
      </c>
      <c r="BF694">
        <v>200</v>
      </c>
      <c r="BG694">
        <v>0</v>
      </c>
      <c r="BH694">
        <v>0</v>
      </c>
      <c r="BI694">
        <v>40</v>
      </c>
      <c r="BJ694">
        <v>0</v>
      </c>
      <c r="BK694">
        <v>0</v>
      </c>
      <c r="BL694">
        <v>0</v>
      </c>
      <c r="BM694">
        <v>0</v>
      </c>
      <c r="BN694">
        <v>471.7</v>
      </c>
      <c r="BO694">
        <v>75.47</v>
      </c>
      <c r="BP694">
        <v>18.87</v>
      </c>
      <c r="BQ694">
        <f t="shared" si="10"/>
        <v>528.29999999999995</v>
      </c>
      <c r="BR694" t="s">
        <v>117</v>
      </c>
    </row>
    <row r="695" spans="1:70">
      <c r="A695" t="s">
        <v>2980</v>
      </c>
      <c r="B695" t="s">
        <v>2981</v>
      </c>
      <c r="C695" t="s">
        <v>71</v>
      </c>
      <c r="D695" t="s">
        <v>289</v>
      </c>
      <c r="E695" t="s">
        <v>73</v>
      </c>
      <c r="F695" t="s">
        <v>74</v>
      </c>
      <c r="G695">
        <v>242098</v>
      </c>
      <c r="H695" t="s">
        <v>74</v>
      </c>
      <c r="I695" t="s">
        <v>75</v>
      </c>
      <c r="J695" t="s">
        <v>74</v>
      </c>
      <c r="K695" t="s">
        <v>2982</v>
      </c>
      <c r="L695" t="s">
        <v>77</v>
      </c>
      <c r="M695" t="s">
        <v>78</v>
      </c>
      <c r="N695" t="s">
        <v>117</v>
      </c>
      <c r="O695" t="s">
        <v>2983</v>
      </c>
      <c r="P695" t="s">
        <v>2984</v>
      </c>
      <c r="X695">
        <v>9</v>
      </c>
      <c r="AF695" t="s">
        <v>407</v>
      </c>
      <c r="AG695" t="s">
        <v>296</v>
      </c>
      <c r="AH695" t="s">
        <v>407</v>
      </c>
      <c r="AJ695">
        <v>0</v>
      </c>
      <c r="AK695">
        <v>0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1.35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415.71</v>
      </c>
      <c r="BE695">
        <v>0</v>
      </c>
      <c r="BF695">
        <v>360</v>
      </c>
      <c r="BG695">
        <v>0</v>
      </c>
      <c r="BH695">
        <v>0</v>
      </c>
      <c r="BI695">
        <v>72</v>
      </c>
      <c r="BJ695">
        <v>0</v>
      </c>
      <c r="BK695">
        <v>0</v>
      </c>
      <c r="BL695">
        <v>0</v>
      </c>
      <c r="BM695">
        <v>0</v>
      </c>
      <c r="BN695">
        <v>849.06</v>
      </c>
      <c r="BO695">
        <v>135.85</v>
      </c>
      <c r="BP695">
        <v>33.96</v>
      </c>
      <c r="BQ695">
        <f t="shared" si="10"/>
        <v>950.94999999999993</v>
      </c>
      <c r="BR695" t="s">
        <v>117</v>
      </c>
    </row>
    <row r="696" spans="1:70">
      <c r="A696" t="s">
        <v>2985</v>
      </c>
      <c r="B696" t="s">
        <v>2986</v>
      </c>
      <c r="C696" t="s">
        <v>71</v>
      </c>
      <c r="D696" t="s">
        <v>289</v>
      </c>
      <c r="E696" t="s">
        <v>73</v>
      </c>
      <c r="F696" t="s">
        <v>74</v>
      </c>
      <c r="G696" t="s">
        <v>2987</v>
      </c>
      <c r="H696" t="s">
        <v>74</v>
      </c>
      <c r="I696" t="s">
        <v>75</v>
      </c>
      <c r="J696" t="s">
        <v>74</v>
      </c>
      <c r="K696" t="s">
        <v>2988</v>
      </c>
      <c r="L696" t="s">
        <v>77</v>
      </c>
      <c r="M696" t="s">
        <v>78</v>
      </c>
      <c r="N696" t="s">
        <v>964</v>
      </c>
      <c r="O696" t="s">
        <v>1224</v>
      </c>
      <c r="P696" t="s">
        <v>2984</v>
      </c>
      <c r="X696">
        <v>19</v>
      </c>
      <c r="AF696" t="s">
        <v>569</v>
      </c>
      <c r="AG696" t="s">
        <v>296</v>
      </c>
      <c r="AH696" t="s">
        <v>569</v>
      </c>
      <c r="AJ696">
        <v>0</v>
      </c>
      <c r="AK696">
        <v>0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2.85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877.61</v>
      </c>
      <c r="BE696">
        <v>0</v>
      </c>
      <c r="BF696">
        <v>760</v>
      </c>
      <c r="BG696">
        <v>0</v>
      </c>
      <c r="BH696">
        <v>0</v>
      </c>
      <c r="BI696">
        <v>152</v>
      </c>
      <c r="BJ696">
        <v>0</v>
      </c>
      <c r="BK696">
        <v>0</v>
      </c>
      <c r="BL696">
        <v>0</v>
      </c>
      <c r="BM696">
        <v>0</v>
      </c>
      <c r="BN696">
        <v>1792.46</v>
      </c>
      <c r="BO696">
        <v>286.8</v>
      </c>
      <c r="BP696">
        <v>71.69</v>
      </c>
      <c r="BQ696">
        <f t="shared" si="10"/>
        <v>2007.5700000000002</v>
      </c>
      <c r="BR696" t="s">
        <v>964</v>
      </c>
    </row>
    <row r="697" spans="1:70">
      <c r="A697" t="s">
        <v>2989</v>
      </c>
      <c r="B697" t="s">
        <v>2990</v>
      </c>
      <c r="C697" t="s">
        <v>71</v>
      </c>
      <c r="D697" t="s">
        <v>289</v>
      </c>
      <c r="E697" t="s">
        <v>73</v>
      </c>
      <c r="F697" t="s">
        <v>74</v>
      </c>
      <c r="G697">
        <v>242074</v>
      </c>
      <c r="H697" t="s">
        <v>74</v>
      </c>
      <c r="I697" t="s">
        <v>75</v>
      </c>
      <c r="K697" t="s">
        <v>2991</v>
      </c>
      <c r="L697" t="s">
        <v>77</v>
      </c>
      <c r="M697" t="s">
        <v>78</v>
      </c>
      <c r="N697" t="s">
        <v>438</v>
      </c>
      <c r="O697" t="s">
        <v>506</v>
      </c>
      <c r="P697" t="s">
        <v>2984</v>
      </c>
      <c r="V697">
        <v>1</v>
      </c>
      <c r="AF697" t="s">
        <v>295</v>
      </c>
      <c r="AG697" t="s">
        <v>296</v>
      </c>
      <c r="AH697" t="s">
        <v>295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0.15</v>
      </c>
      <c r="AT697">
        <v>0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0</v>
      </c>
      <c r="BA697">
        <v>0</v>
      </c>
      <c r="BB697">
        <v>0</v>
      </c>
      <c r="BC697">
        <v>0</v>
      </c>
      <c r="BD697">
        <v>375.85</v>
      </c>
      <c r="BE697">
        <v>0</v>
      </c>
      <c r="BF697">
        <v>40</v>
      </c>
      <c r="BG697">
        <v>0</v>
      </c>
      <c r="BH697">
        <v>0</v>
      </c>
      <c r="BI697">
        <v>8</v>
      </c>
      <c r="BJ697">
        <v>0</v>
      </c>
      <c r="BK697">
        <v>0</v>
      </c>
      <c r="BL697">
        <v>0</v>
      </c>
      <c r="BM697">
        <v>0</v>
      </c>
      <c r="BN697">
        <v>424</v>
      </c>
      <c r="BO697">
        <v>67.84</v>
      </c>
      <c r="BP697">
        <v>16.96</v>
      </c>
      <c r="BQ697">
        <f t="shared" si="10"/>
        <v>474.88000000000005</v>
      </c>
      <c r="BR697" t="s">
        <v>440</v>
      </c>
    </row>
    <row r="698" spans="1:70">
      <c r="A698" t="s">
        <v>2992</v>
      </c>
      <c r="B698" t="s">
        <v>2993</v>
      </c>
      <c r="C698" t="s">
        <v>71</v>
      </c>
      <c r="D698" t="s">
        <v>289</v>
      </c>
      <c r="E698" t="s">
        <v>73</v>
      </c>
      <c r="F698" t="s">
        <v>74</v>
      </c>
      <c r="G698">
        <v>242087</v>
      </c>
      <c r="H698" t="s">
        <v>74</v>
      </c>
      <c r="I698" t="s">
        <v>75</v>
      </c>
      <c r="J698" t="s">
        <v>74</v>
      </c>
      <c r="K698" t="s">
        <v>2994</v>
      </c>
      <c r="L698" t="s">
        <v>77</v>
      </c>
      <c r="M698" t="s">
        <v>78</v>
      </c>
      <c r="N698" t="s">
        <v>1318</v>
      </c>
      <c r="O698" t="s">
        <v>2995</v>
      </c>
      <c r="P698" t="s">
        <v>2984</v>
      </c>
      <c r="X698">
        <v>5</v>
      </c>
      <c r="AF698" t="s">
        <v>333</v>
      </c>
      <c r="AG698" t="s">
        <v>296</v>
      </c>
      <c r="AH698" t="s">
        <v>333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0.75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77.25</v>
      </c>
      <c r="BE698">
        <v>0</v>
      </c>
      <c r="BF698">
        <v>200</v>
      </c>
      <c r="BG698">
        <v>0</v>
      </c>
      <c r="BH698">
        <v>0</v>
      </c>
      <c r="BI698">
        <v>40</v>
      </c>
      <c r="BJ698">
        <v>0</v>
      </c>
      <c r="BK698">
        <v>0</v>
      </c>
      <c r="BL698">
        <v>0</v>
      </c>
      <c r="BM698">
        <v>0</v>
      </c>
      <c r="BN698">
        <v>318</v>
      </c>
      <c r="BO698">
        <v>50.88</v>
      </c>
      <c r="BP698">
        <v>12.72</v>
      </c>
      <c r="BQ698">
        <f t="shared" si="10"/>
        <v>356.15999999999997</v>
      </c>
      <c r="BR698" t="s">
        <v>1318</v>
      </c>
    </row>
    <row r="699" spans="1:70">
      <c r="A699" t="s">
        <v>2996</v>
      </c>
      <c r="B699" t="s">
        <v>2997</v>
      </c>
      <c r="C699" t="s">
        <v>71</v>
      </c>
      <c r="D699" t="s">
        <v>289</v>
      </c>
      <c r="E699" t="s">
        <v>73</v>
      </c>
      <c r="F699" t="s">
        <v>74</v>
      </c>
      <c r="G699">
        <v>242088</v>
      </c>
      <c r="H699" t="s">
        <v>74</v>
      </c>
      <c r="I699" t="s">
        <v>75</v>
      </c>
      <c r="J699" t="s">
        <v>74</v>
      </c>
      <c r="K699" t="s">
        <v>2998</v>
      </c>
      <c r="L699" t="s">
        <v>77</v>
      </c>
      <c r="M699" t="s">
        <v>78</v>
      </c>
      <c r="N699" t="s">
        <v>591</v>
      </c>
      <c r="O699" t="s">
        <v>2999</v>
      </c>
      <c r="P699" t="s">
        <v>2984</v>
      </c>
      <c r="AD699">
        <v>4</v>
      </c>
      <c r="AF699" t="s">
        <v>326</v>
      </c>
      <c r="AG699" t="s">
        <v>296</v>
      </c>
      <c r="AH699" t="s">
        <v>326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0.6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279.12</v>
      </c>
      <c r="BE699">
        <v>0</v>
      </c>
      <c r="BF699">
        <v>160</v>
      </c>
      <c r="BG699">
        <v>0</v>
      </c>
      <c r="BH699">
        <v>0</v>
      </c>
      <c r="BI699">
        <v>32</v>
      </c>
      <c r="BJ699">
        <v>0</v>
      </c>
      <c r="BK699">
        <v>0</v>
      </c>
      <c r="BL699">
        <v>0</v>
      </c>
      <c r="BM699">
        <v>0</v>
      </c>
      <c r="BN699">
        <v>471.72</v>
      </c>
      <c r="BO699">
        <v>75.48</v>
      </c>
      <c r="BP699">
        <v>18.86</v>
      </c>
      <c r="BQ699">
        <f t="shared" si="10"/>
        <v>528.34</v>
      </c>
      <c r="BR699" t="s">
        <v>591</v>
      </c>
    </row>
    <row r="700" spans="1:70">
      <c r="A700" t="s">
        <v>3000</v>
      </c>
      <c r="B700" t="s">
        <v>3001</v>
      </c>
      <c r="C700" t="s">
        <v>71</v>
      </c>
      <c r="D700" t="s">
        <v>289</v>
      </c>
      <c r="E700" t="s">
        <v>73</v>
      </c>
      <c r="F700" t="s">
        <v>74</v>
      </c>
      <c r="G700">
        <v>242092</v>
      </c>
      <c r="H700" t="s">
        <v>74</v>
      </c>
      <c r="I700" t="s">
        <v>75</v>
      </c>
      <c r="J700" t="s">
        <v>74</v>
      </c>
      <c r="K700" t="s">
        <v>3002</v>
      </c>
      <c r="L700" t="s">
        <v>77</v>
      </c>
      <c r="M700" t="s">
        <v>78</v>
      </c>
      <c r="N700" t="s">
        <v>393</v>
      </c>
      <c r="O700" t="s">
        <v>394</v>
      </c>
      <c r="P700" t="s">
        <v>2984</v>
      </c>
      <c r="X700">
        <v>18</v>
      </c>
      <c r="AF700" t="s">
        <v>395</v>
      </c>
      <c r="AG700" t="s">
        <v>296</v>
      </c>
      <c r="AH700" t="s">
        <v>395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2.7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831.42</v>
      </c>
      <c r="BE700">
        <v>0</v>
      </c>
      <c r="BF700">
        <v>720</v>
      </c>
      <c r="BG700">
        <v>0</v>
      </c>
      <c r="BH700">
        <v>0</v>
      </c>
      <c r="BI700">
        <v>144</v>
      </c>
      <c r="BJ700">
        <v>0</v>
      </c>
      <c r="BK700">
        <v>0</v>
      </c>
      <c r="BL700">
        <v>0</v>
      </c>
      <c r="BM700">
        <v>0</v>
      </c>
      <c r="BN700">
        <v>1698.12</v>
      </c>
      <c r="BO700">
        <v>271.7</v>
      </c>
      <c r="BP700">
        <v>67.930000000000007</v>
      </c>
      <c r="BQ700">
        <f t="shared" si="10"/>
        <v>1901.8899999999999</v>
      </c>
      <c r="BR700" t="s">
        <v>393</v>
      </c>
    </row>
    <row r="701" spans="1:70">
      <c r="A701" t="s">
        <v>3003</v>
      </c>
      <c r="B701" t="s">
        <v>3004</v>
      </c>
      <c r="C701" t="s">
        <v>71</v>
      </c>
      <c r="D701" t="s">
        <v>289</v>
      </c>
      <c r="E701" t="s">
        <v>73</v>
      </c>
      <c r="F701" t="s">
        <v>74</v>
      </c>
      <c r="G701">
        <v>242093</v>
      </c>
      <c r="H701" t="s">
        <v>74</v>
      </c>
      <c r="I701" t="s">
        <v>75</v>
      </c>
      <c r="K701" t="s">
        <v>3005</v>
      </c>
      <c r="L701" t="s">
        <v>77</v>
      </c>
      <c r="M701" t="s">
        <v>78</v>
      </c>
      <c r="N701" t="s">
        <v>748</v>
      </c>
      <c r="O701" t="s">
        <v>3006</v>
      </c>
      <c r="P701" t="s">
        <v>2984</v>
      </c>
      <c r="X701">
        <v>19</v>
      </c>
      <c r="AF701" t="s">
        <v>569</v>
      </c>
      <c r="AG701" t="s">
        <v>296</v>
      </c>
      <c r="AH701" t="s">
        <v>569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2.85</v>
      </c>
      <c r="AT701">
        <v>0</v>
      </c>
      <c r="AU701">
        <v>0</v>
      </c>
      <c r="AV701">
        <v>0</v>
      </c>
      <c r="AW701">
        <v>0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293.55</v>
      </c>
      <c r="BE701">
        <v>0</v>
      </c>
      <c r="BF701">
        <v>760</v>
      </c>
      <c r="BG701">
        <v>0</v>
      </c>
      <c r="BH701">
        <v>0</v>
      </c>
      <c r="BI701">
        <v>152</v>
      </c>
      <c r="BJ701">
        <v>0</v>
      </c>
      <c r="BK701">
        <v>0</v>
      </c>
      <c r="BL701">
        <v>0</v>
      </c>
      <c r="BM701">
        <v>0</v>
      </c>
      <c r="BN701">
        <v>1208.4000000000001</v>
      </c>
      <c r="BO701">
        <v>193.35</v>
      </c>
      <c r="BP701">
        <v>48.33</v>
      </c>
      <c r="BQ701">
        <f t="shared" si="10"/>
        <v>1353.42</v>
      </c>
      <c r="BR701" t="s">
        <v>748</v>
      </c>
    </row>
    <row r="702" spans="1:70">
      <c r="A702" t="s">
        <v>3007</v>
      </c>
      <c r="B702" t="s">
        <v>3008</v>
      </c>
      <c r="C702" t="s">
        <v>71</v>
      </c>
      <c r="D702" t="s">
        <v>289</v>
      </c>
      <c r="E702" t="s">
        <v>73</v>
      </c>
      <c r="F702" t="s">
        <v>74</v>
      </c>
      <c r="G702">
        <v>242099</v>
      </c>
      <c r="H702" t="s">
        <v>74</v>
      </c>
      <c r="I702" t="s">
        <v>75</v>
      </c>
      <c r="J702" t="s">
        <v>74</v>
      </c>
      <c r="K702" t="s">
        <v>3009</v>
      </c>
      <c r="L702" t="s">
        <v>77</v>
      </c>
      <c r="M702" t="s">
        <v>78</v>
      </c>
      <c r="N702" t="s">
        <v>620</v>
      </c>
      <c r="O702" t="s">
        <v>3010</v>
      </c>
      <c r="P702" t="s">
        <v>2984</v>
      </c>
      <c r="X702">
        <v>37</v>
      </c>
      <c r="AF702" t="s">
        <v>3011</v>
      </c>
      <c r="AG702" t="s">
        <v>296</v>
      </c>
      <c r="AH702" t="s">
        <v>3011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5.55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571.65</v>
      </c>
      <c r="BE702">
        <v>0</v>
      </c>
      <c r="BF702">
        <v>1480</v>
      </c>
      <c r="BG702">
        <v>0</v>
      </c>
      <c r="BH702">
        <v>0</v>
      </c>
      <c r="BI702">
        <v>296</v>
      </c>
      <c r="BJ702">
        <v>0</v>
      </c>
      <c r="BK702">
        <v>0</v>
      </c>
      <c r="BL702">
        <v>0</v>
      </c>
      <c r="BM702">
        <v>0</v>
      </c>
      <c r="BN702">
        <v>2353.1999999999998</v>
      </c>
      <c r="BO702">
        <v>376.51</v>
      </c>
      <c r="BP702">
        <v>94.13</v>
      </c>
      <c r="BQ702">
        <f t="shared" si="10"/>
        <v>2635.58</v>
      </c>
      <c r="BR702" t="s">
        <v>83</v>
      </c>
    </row>
    <row r="703" spans="1:70">
      <c r="A703" t="s">
        <v>3012</v>
      </c>
      <c r="B703" t="s">
        <v>3013</v>
      </c>
      <c r="C703" t="s">
        <v>71</v>
      </c>
      <c r="D703" t="s">
        <v>289</v>
      </c>
      <c r="E703" t="s">
        <v>73</v>
      </c>
      <c r="F703" t="s">
        <v>74</v>
      </c>
      <c r="G703">
        <v>242072</v>
      </c>
      <c r="H703" t="s">
        <v>74</v>
      </c>
      <c r="I703" t="s">
        <v>75</v>
      </c>
      <c r="J703" t="s">
        <v>74</v>
      </c>
      <c r="K703" t="s">
        <v>3014</v>
      </c>
      <c r="L703" t="s">
        <v>77</v>
      </c>
      <c r="M703" t="s">
        <v>78</v>
      </c>
      <c r="N703" t="s">
        <v>653</v>
      </c>
      <c r="O703" t="s">
        <v>654</v>
      </c>
      <c r="P703" t="s">
        <v>2984</v>
      </c>
      <c r="V703">
        <v>1</v>
      </c>
      <c r="AF703" t="s">
        <v>295</v>
      </c>
      <c r="AG703" t="s">
        <v>296</v>
      </c>
      <c r="AH703" t="s">
        <v>295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0.15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</v>
      </c>
      <c r="BB703">
        <v>0</v>
      </c>
      <c r="BC703">
        <v>0</v>
      </c>
      <c r="BD703">
        <v>375.85</v>
      </c>
      <c r="BE703">
        <v>0</v>
      </c>
      <c r="BF703">
        <v>40</v>
      </c>
      <c r="BG703">
        <v>0</v>
      </c>
      <c r="BH703">
        <v>0</v>
      </c>
      <c r="BI703">
        <v>8</v>
      </c>
      <c r="BJ703">
        <v>0</v>
      </c>
      <c r="BK703">
        <v>0</v>
      </c>
      <c r="BL703">
        <v>0</v>
      </c>
      <c r="BM703">
        <v>0</v>
      </c>
      <c r="BN703">
        <v>424</v>
      </c>
      <c r="BO703">
        <v>67.84</v>
      </c>
      <c r="BP703">
        <v>16.96</v>
      </c>
      <c r="BQ703">
        <f t="shared" si="10"/>
        <v>474.88000000000005</v>
      </c>
      <c r="BR703" t="s">
        <v>119</v>
      </c>
    </row>
    <row r="704" spans="1:70">
      <c r="A704" t="s">
        <v>3015</v>
      </c>
      <c r="B704" t="s">
        <v>3016</v>
      </c>
      <c r="C704" t="s">
        <v>71</v>
      </c>
      <c r="D704" t="s">
        <v>289</v>
      </c>
      <c r="E704" t="s">
        <v>73</v>
      </c>
      <c r="F704" t="s">
        <v>74</v>
      </c>
      <c r="G704">
        <v>242069</v>
      </c>
      <c r="H704" t="s">
        <v>74</v>
      </c>
      <c r="I704" t="s">
        <v>75</v>
      </c>
      <c r="J704" t="s">
        <v>74</v>
      </c>
      <c r="K704" t="s">
        <v>3017</v>
      </c>
      <c r="L704" t="s">
        <v>77</v>
      </c>
      <c r="M704" t="s">
        <v>78</v>
      </c>
      <c r="N704" t="s">
        <v>653</v>
      </c>
      <c r="O704" t="s">
        <v>2282</v>
      </c>
      <c r="P704" t="s">
        <v>2984</v>
      </c>
      <c r="X704">
        <v>20</v>
      </c>
      <c r="AF704" t="s">
        <v>384</v>
      </c>
      <c r="AG704" t="s">
        <v>296</v>
      </c>
      <c r="AH704" t="s">
        <v>384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3</v>
      </c>
      <c r="AT704">
        <v>0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309</v>
      </c>
      <c r="BE704">
        <v>0</v>
      </c>
      <c r="BF704">
        <v>800</v>
      </c>
      <c r="BG704">
        <v>0</v>
      </c>
      <c r="BH704">
        <v>0</v>
      </c>
      <c r="BI704">
        <v>160</v>
      </c>
      <c r="BJ704">
        <v>0</v>
      </c>
      <c r="BK704">
        <v>0</v>
      </c>
      <c r="BL704">
        <v>0</v>
      </c>
      <c r="BM704">
        <v>0</v>
      </c>
      <c r="BN704">
        <v>1272</v>
      </c>
      <c r="BO704">
        <v>203.52</v>
      </c>
      <c r="BP704">
        <v>50.88</v>
      </c>
      <c r="BQ704">
        <f t="shared" si="10"/>
        <v>1424.6399999999999</v>
      </c>
      <c r="BR704" t="s">
        <v>119</v>
      </c>
    </row>
    <row r="705" spans="1:70">
      <c r="A705" t="s">
        <v>3018</v>
      </c>
      <c r="B705" t="s">
        <v>3019</v>
      </c>
      <c r="C705" t="s">
        <v>71</v>
      </c>
      <c r="D705" t="s">
        <v>289</v>
      </c>
      <c r="E705" t="s">
        <v>73</v>
      </c>
      <c r="F705" t="s">
        <v>74</v>
      </c>
      <c r="G705">
        <v>242110</v>
      </c>
      <c r="H705" t="s">
        <v>74</v>
      </c>
      <c r="I705" t="s">
        <v>75</v>
      </c>
      <c r="J705" t="s">
        <v>74</v>
      </c>
      <c r="K705" t="s">
        <v>3020</v>
      </c>
      <c r="L705" t="s">
        <v>77</v>
      </c>
      <c r="M705" t="s">
        <v>78</v>
      </c>
      <c r="N705" t="s">
        <v>438</v>
      </c>
      <c r="O705" t="s">
        <v>753</v>
      </c>
      <c r="P705" t="s">
        <v>2984</v>
      </c>
      <c r="V705">
        <v>1</v>
      </c>
      <c r="AF705" t="s">
        <v>295</v>
      </c>
      <c r="AG705" t="s">
        <v>296</v>
      </c>
      <c r="AH705" t="s">
        <v>295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0.15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375.85</v>
      </c>
      <c r="BE705">
        <v>0</v>
      </c>
      <c r="BF705">
        <v>40</v>
      </c>
      <c r="BG705">
        <v>0</v>
      </c>
      <c r="BH705">
        <v>0</v>
      </c>
      <c r="BI705">
        <v>8</v>
      </c>
      <c r="BJ705">
        <v>0</v>
      </c>
      <c r="BK705">
        <v>0</v>
      </c>
      <c r="BL705">
        <v>0</v>
      </c>
      <c r="BM705">
        <v>0</v>
      </c>
      <c r="BN705">
        <v>424</v>
      </c>
      <c r="BO705">
        <v>67.84</v>
      </c>
      <c r="BP705">
        <v>16.96</v>
      </c>
      <c r="BQ705">
        <f t="shared" si="10"/>
        <v>474.88000000000005</v>
      </c>
      <c r="BR705" t="s">
        <v>440</v>
      </c>
    </row>
    <row r="706" spans="1:70">
      <c r="A706" t="s">
        <v>3021</v>
      </c>
      <c r="B706" t="s">
        <v>3022</v>
      </c>
      <c r="C706" t="s">
        <v>71</v>
      </c>
      <c r="D706" t="s">
        <v>289</v>
      </c>
      <c r="E706" t="s">
        <v>73</v>
      </c>
      <c r="F706" t="s">
        <v>74</v>
      </c>
      <c r="G706">
        <v>242111</v>
      </c>
      <c r="H706" t="s">
        <v>74</v>
      </c>
      <c r="I706" t="s">
        <v>75</v>
      </c>
      <c r="J706" t="s">
        <v>74</v>
      </c>
      <c r="K706" t="s">
        <v>3023</v>
      </c>
      <c r="L706" t="s">
        <v>77</v>
      </c>
      <c r="M706" t="s">
        <v>78</v>
      </c>
      <c r="N706" t="s">
        <v>161</v>
      </c>
      <c r="O706" t="s">
        <v>3024</v>
      </c>
      <c r="P706" t="s">
        <v>2984</v>
      </c>
      <c r="X706">
        <v>36</v>
      </c>
      <c r="AF706" t="s">
        <v>1489</v>
      </c>
      <c r="AG706" t="s">
        <v>296</v>
      </c>
      <c r="AH706" t="s">
        <v>1489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5.4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556.20000000000005</v>
      </c>
      <c r="BE706">
        <v>0</v>
      </c>
      <c r="BF706">
        <v>1440</v>
      </c>
      <c r="BG706">
        <v>0</v>
      </c>
      <c r="BH706">
        <v>0</v>
      </c>
      <c r="BI706">
        <v>288</v>
      </c>
      <c r="BJ706">
        <v>0</v>
      </c>
      <c r="BK706">
        <v>0</v>
      </c>
      <c r="BL706">
        <v>0</v>
      </c>
      <c r="BM706">
        <v>0</v>
      </c>
      <c r="BN706">
        <v>2289.6</v>
      </c>
      <c r="BO706">
        <v>366.33</v>
      </c>
      <c r="BP706">
        <v>91.59</v>
      </c>
      <c r="BQ706">
        <f t="shared" ref="BQ706:BQ769" si="11">(BN706+BO706-BP706)</f>
        <v>2564.3399999999997</v>
      </c>
      <c r="BR706" t="s">
        <v>83</v>
      </c>
    </row>
    <row r="707" spans="1:70">
      <c r="A707" t="s">
        <v>3025</v>
      </c>
      <c r="B707" t="s">
        <v>3026</v>
      </c>
      <c r="C707" t="s">
        <v>71</v>
      </c>
      <c r="D707" t="s">
        <v>289</v>
      </c>
      <c r="E707" t="s">
        <v>73</v>
      </c>
      <c r="F707" t="s">
        <v>74</v>
      </c>
      <c r="G707">
        <v>242114</v>
      </c>
      <c r="H707" t="s">
        <v>74</v>
      </c>
      <c r="I707" t="s">
        <v>75</v>
      </c>
      <c r="J707" t="s">
        <v>74</v>
      </c>
      <c r="K707" t="s">
        <v>3027</v>
      </c>
      <c r="L707" t="s">
        <v>77</v>
      </c>
      <c r="M707" t="s">
        <v>78</v>
      </c>
      <c r="N707" t="s">
        <v>343</v>
      </c>
      <c r="O707" t="s">
        <v>3028</v>
      </c>
      <c r="P707" t="s">
        <v>2984</v>
      </c>
      <c r="X707">
        <v>18</v>
      </c>
      <c r="AF707" t="s">
        <v>395</v>
      </c>
      <c r="AG707" t="s">
        <v>296</v>
      </c>
      <c r="AH707" t="s">
        <v>395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2.7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278.10000000000002</v>
      </c>
      <c r="BE707">
        <v>0</v>
      </c>
      <c r="BF707">
        <v>720</v>
      </c>
      <c r="BG707">
        <v>0</v>
      </c>
      <c r="BH707">
        <v>0</v>
      </c>
      <c r="BI707">
        <v>144</v>
      </c>
      <c r="BJ707">
        <v>0</v>
      </c>
      <c r="BK707">
        <v>0</v>
      </c>
      <c r="BL707">
        <v>0</v>
      </c>
      <c r="BM707">
        <v>0</v>
      </c>
      <c r="BN707">
        <v>1144.8</v>
      </c>
      <c r="BO707">
        <v>183.17</v>
      </c>
      <c r="BP707">
        <v>45.79</v>
      </c>
      <c r="BQ707">
        <f t="shared" si="11"/>
        <v>1282.18</v>
      </c>
      <c r="BR707" t="s">
        <v>343</v>
      </c>
    </row>
    <row r="708" spans="1:70">
      <c r="A708" t="s">
        <v>3029</v>
      </c>
      <c r="B708" t="s">
        <v>3030</v>
      </c>
      <c r="C708" t="s">
        <v>71</v>
      </c>
      <c r="D708" t="s">
        <v>289</v>
      </c>
      <c r="E708" t="s">
        <v>73</v>
      </c>
      <c r="F708" t="s">
        <v>74</v>
      </c>
      <c r="G708">
        <v>242115</v>
      </c>
      <c r="H708" t="s">
        <v>74</v>
      </c>
      <c r="I708" t="s">
        <v>75</v>
      </c>
      <c r="K708" t="s">
        <v>3031</v>
      </c>
      <c r="L708" t="s">
        <v>77</v>
      </c>
      <c r="M708" t="s">
        <v>78</v>
      </c>
      <c r="N708" t="s">
        <v>137</v>
      </c>
      <c r="O708" t="s">
        <v>3032</v>
      </c>
      <c r="P708" t="s">
        <v>2984</v>
      </c>
      <c r="X708">
        <v>10</v>
      </c>
      <c r="AF708" t="s">
        <v>372</v>
      </c>
      <c r="AG708" t="s">
        <v>296</v>
      </c>
      <c r="AH708" t="s">
        <v>372</v>
      </c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1.5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461.9</v>
      </c>
      <c r="BE708">
        <v>0</v>
      </c>
      <c r="BF708">
        <v>400</v>
      </c>
      <c r="BG708">
        <v>0</v>
      </c>
      <c r="BH708">
        <v>0</v>
      </c>
      <c r="BI708">
        <v>80</v>
      </c>
      <c r="BJ708">
        <v>0</v>
      </c>
      <c r="BK708">
        <v>0</v>
      </c>
      <c r="BL708">
        <v>0</v>
      </c>
      <c r="BM708">
        <v>0</v>
      </c>
      <c r="BN708">
        <v>943.4</v>
      </c>
      <c r="BO708">
        <v>150.94</v>
      </c>
      <c r="BP708">
        <v>37.74</v>
      </c>
      <c r="BQ708">
        <f t="shared" si="11"/>
        <v>1056.5999999999999</v>
      </c>
      <c r="BR708" t="s">
        <v>141</v>
      </c>
    </row>
    <row r="709" spans="1:70">
      <c r="A709" t="s">
        <v>3033</v>
      </c>
      <c r="B709" t="s">
        <v>3034</v>
      </c>
      <c r="C709" t="s">
        <v>71</v>
      </c>
      <c r="D709" t="s">
        <v>289</v>
      </c>
      <c r="E709" t="s">
        <v>73</v>
      </c>
      <c r="F709" t="s">
        <v>74</v>
      </c>
      <c r="G709">
        <v>242119</v>
      </c>
      <c r="H709" t="s">
        <v>74</v>
      </c>
      <c r="I709" t="s">
        <v>75</v>
      </c>
      <c r="J709" t="s">
        <v>74</v>
      </c>
      <c r="K709" t="s">
        <v>3035</v>
      </c>
      <c r="L709" t="s">
        <v>77</v>
      </c>
      <c r="M709" t="s">
        <v>78</v>
      </c>
      <c r="N709" t="s">
        <v>161</v>
      </c>
      <c r="O709" t="s">
        <v>2259</v>
      </c>
      <c r="P709" t="s">
        <v>2984</v>
      </c>
      <c r="X709">
        <v>21</v>
      </c>
      <c r="AF709" t="s">
        <v>684</v>
      </c>
      <c r="AG709" t="s">
        <v>296</v>
      </c>
      <c r="AH709" t="s">
        <v>684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3.15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324.45</v>
      </c>
      <c r="BE709">
        <v>0</v>
      </c>
      <c r="BF709">
        <v>840</v>
      </c>
      <c r="BG709">
        <v>0</v>
      </c>
      <c r="BH709">
        <v>0</v>
      </c>
      <c r="BI709">
        <v>168</v>
      </c>
      <c r="BJ709">
        <v>0</v>
      </c>
      <c r="BK709">
        <v>0</v>
      </c>
      <c r="BL709">
        <v>0</v>
      </c>
      <c r="BM709">
        <v>0</v>
      </c>
      <c r="BN709">
        <v>1335.6</v>
      </c>
      <c r="BO709">
        <v>213.69</v>
      </c>
      <c r="BP709">
        <v>53.43</v>
      </c>
      <c r="BQ709">
        <f t="shared" si="11"/>
        <v>1495.86</v>
      </c>
      <c r="BR709" t="s">
        <v>83</v>
      </c>
    </row>
    <row r="710" spans="1:70">
      <c r="A710" t="s">
        <v>3036</v>
      </c>
      <c r="B710" t="s">
        <v>3037</v>
      </c>
      <c r="C710" t="s">
        <v>71</v>
      </c>
      <c r="D710" t="s">
        <v>289</v>
      </c>
      <c r="E710" t="s">
        <v>73</v>
      </c>
      <c r="F710" t="s">
        <v>74</v>
      </c>
      <c r="G710">
        <v>242121</v>
      </c>
      <c r="H710" t="s">
        <v>74</v>
      </c>
      <c r="I710" t="s">
        <v>75</v>
      </c>
      <c r="J710" t="s">
        <v>74</v>
      </c>
      <c r="K710" t="s">
        <v>3038</v>
      </c>
      <c r="L710" t="s">
        <v>77</v>
      </c>
      <c r="M710" t="s">
        <v>78</v>
      </c>
      <c r="N710" t="s">
        <v>866</v>
      </c>
      <c r="O710" t="s">
        <v>3039</v>
      </c>
      <c r="P710" t="s">
        <v>2984</v>
      </c>
      <c r="X710">
        <v>5</v>
      </c>
      <c r="AF710" t="s">
        <v>333</v>
      </c>
      <c r="AG710" t="s">
        <v>296</v>
      </c>
      <c r="AH710" t="s">
        <v>333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0.75</v>
      </c>
      <c r="AT710">
        <v>0</v>
      </c>
      <c r="AU710">
        <v>0</v>
      </c>
      <c r="AV710">
        <v>131.44999999999999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230.95</v>
      </c>
      <c r="BE710">
        <v>0</v>
      </c>
      <c r="BF710">
        <v>200</v>
      </c>
      <c r="BG710">
        <v>0</v>
      </c>
      <c r="BH710">
        <v>0</v>
      </c>
      <c r="BI710">
        <v>40</v>
      </c>
      <c r="BJ710">
        <v>0</v>
      </c>
      <c r="BK710">
        <v>0</v>
      </c>
      <c r="BL710">
        <v>0</v>
      </c>
      <c r="BM710">
        <v>0</v>
      </c>
      <c r="BN710">
        <v>603.15</v>
      </c>
      <c r="BO710">
        <v>96.5</v>
      </c>
      <c r="BP710">
        <v>18.87</v>
      </c>
      <c r="BQ710">
        <f t="shared" si="11"/>
        <v>680.78</v>
      </c>
      <c r="BR710" t="s">
        <v>866</v>
      </c>
    </row>
    <row r="711" spans="1:70">
      <c r="A711" t="s">
        <v>3040</v>
      </c>
      <c r="B711" t="s">
        <v>3041</v>
      </c>
      <c r="C711" t="s">
        <v>71</v>
      </c>
      <c r="D711" t="s">
        <v>289</v>
      </c>
      <c r="E711" t="s">
        <v>73</v>
      </c>
      <c r="F711" t="s">
        <v>74</v>
      </c>
      <c r="G711">
        <v>242122</v>
      </c>
      <c r="H711" t="s">
        <v>74</v>
      </c>
      <c r="I711" t="s">
        <v>75</v>
      </c>
      <c r="J711" t="s">
        <v>74</v>
      </c>
      <c r="K711" t="s">
        <v>3042</v>
      </c>
      <c r="L711" t="s">
        <v>77</v>
      </c>
      <c r="M711" t="s">
        <v>78</v>
      </c>
      <c r="N711" t="s">
        <v>674</v>
      </c>
      <c r="O711" t="s">
        <v>872</v>
      </c>
      <c r="P711" t="s">
        <v>2984</v>
      </c>
      <c r="Z711">
        <v>2</v>
      </c>
      <c r="AF711" t="s">
        <v>339</v>
      </c>
      <c r="AG711" t="s">
        <v>296</v>
      </c>
      <c r="AH711" t="s">
        <v>339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0.3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327.7</v>
      </c>
      <c r="BE711">
        <v>0</v>
      </c>
      <c r="BF711">
        <v>80</v>
      </c>
      <c r="BG711">
        <v>0</v>
      </c>
      <c r="BH711">
        <v>0</v>
      </c>
      <c r="BI711">
        <v>16</v>
      </c>
      <c r="BJ711">
        <v>0</v>
      </c>
      <c r="BK711">
        <v>0</v>
      </c>
      <c r="BL711">
        <v>0</v>
      </c>
      <c r="BM711">
        <v>0</v>
      </c>
      <c r="BN711">
        <v>424</v>
      </c>
      <c r="BO711">
        <v>67.84</v>
      </c>
      <c r="BP711">
        <v>16.96</v>
      </c>
      <c r="BQ711">
        <f t="shared" si="11"/>
        <v>474.88000000000005</v>
      </c>
      <c r="BR711" t="s">
        <v>674</v>
      </c>
    </row>
    <row r="712" spans="1:70">
      <c r="A712" t="s">
        <v>3043</v>
      </c>
      <c r="B712" t="s">
        <v>3044</v>
      </c>
      <c r="C712" t="s">
        <v>71</v>
      </c>
      <c r="D712" t="s">
        <v>289</v>
      </c>
      <c r="E712" t="s">
        <v>73</v>
      </c>
      <c r="F712" t="s">
        <v>74</v>
      </c>
      <c r="G712">
        <v>242123</v>
      </c>
      <c r="H712" t="s">
        <v>74</v>
      </c>
      <c r="I712" t="s">
        <v>75</v>
      </c>
      <c r="J712" t="s">
        <v>74</v>
      </c>
      <c r="K712" t="s">
        <v>3045</v>
      </c>
      <c r="L712" t="s">
        <v>77</v>
      </c>
      <c r="M712" t="s">
        <v>78</v>
      </c>
      <c r="N712" t="s">
        <v>866</v>
      </c>
      <c r="O712" t="s">
        <v>3039</v>
      </c>
      <c r="P712" t="s">
        <v>2984</v>
      </c>
      <c r="X712">
        <v>5</v>
      </c>
      <c r="AF712" t="s">
        <v>333</v>
      </c>
      <c r="AG712" t="s">
        <v>296</v>
      </c>
      <c r="AH712" t="s">
        <v>333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0.75</v>
      </c>
      <c r="AT712">
        <v>0</v>
      </c>
      <c r="AU712">
        <v>0</v>
      </c>
      <c r="AV712">
        <v>131.44999999999999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230.95</v>
      </c>
      <c r="BE712">
        <v>0</v>
      </c>
      <c r="BF712">
        <v>200</v>
      </c>
      <c r="BG712">
        <v>0</v>
      </c>
      <c r="BH712">
        <v>0</v>
      </c>
      <c r="BI712">
        <v>40</v>
      </c>
      <c r="BJ712">
        <v>0</v>
      </c>
      <c r="BK712">
        <v>0</v>
      </c>
      <c r="BL712">
        <v>0</v>
      </c>
      <c r="BM712">
        <v>0</v>
      </c>
      <c r="BN712">
        <v>603.15</v>
      </c>
      <c r="BO712">
        <v>96.5</v>
      </c>
      <c r="BP712">
        <v>18.87</v>
      </c>
      <c r="BQ712">
        <f t="shared" si="11"/>
        <v>680.78</v>
      </c>
      <c r="BR712" t="s">
        <v>866</v>
      </c>
    </row>
    <row r="713" spans="1:70">
      <c r="A713" t="s">
        <v>3046</v>
      </c>
      <c r="B713" t="s">
        <v>3047</v>
      </c>
      <c r="C713" t="s">
        <v>71</v>
      </c>
      <c r="D713" t="s">
        <v>289</v>
      </c>
      <c r="E713" t="s">
        <v>73</v>
      </c>
      <c r="F713" t="s">
        <v>74</v>
      </c>
      <c r="G713">
        <v>242125</v>
      </c>
      <c r="H713" t="s">
        <v>74</v>
      </c>
      <c r="I713" t="s">
        <v>75</v>
      </c>
      <c r="J713" t="s">
        <v>74</v>
      </c>
      <c r="K713" t="s">
        <v>3048</v>
      </c>
      <c r="L713" t="s">
        <v>77</v>
      </c>
      <c r="M713" t="s">
        <v>78</v>
      </c>
      <c r="N713" t="s">
        <v>1088</v>
      </c>
      <c r="O713" t="s">
        <v>3049</v>
      </c>
      <c r="P713" t="s">
        <v>2984</v>
      </c>
      <c r="AB713">
        <v>3</v>
      </c>
      <c r="AF713" t="s">
        <v>314</v>
      </c>
      <c r="AG713" t="s">
        <v>296</v>
      </c>
      <c r="AH713" t="s">
        <v>314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0.45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279.54000000000002</v>
      </c>
      <c r="BE713">
        <v>0</v>
      </c>
      <c r="BF713">
        <v>120</v>
      </c>
      <c r="BG713">
        <v>0</v>
      </c>
      <c r="BH713">
        <v>0</v>
      </c>
      <c r="BI713">
        <v>24</v>
      </c>
      <c r="BJ713">
        <v>0</v>
      </c>
      <c r="BK713">
        <v>0</v>
      </c>
      <c r="BL713">
        <v>0</v>
      </c>
      <c r="BM713">
        <v>0</v>
      </c>
      <c r="BN713">
        <v>423.99</v>
      </c>
      <c r="BO713">
        <v>67.84</v>
      </c>
      <c r="BP713">
        <v>16.96</v>
      </c>
      <c r="BQ713">
        <f t="shared" si="11"/>
        <v>474.87000000000006</v>
      </c>
      <c r="BR713" t="s">
        <v>83</v>
      </c>
    </row>
    <row r="714" spans="1:70">
      <c r="A714" t="s">
        <v>3050</v>
      </c>
      <c r="B714" t="s">
        <v>3051</v>
      </c>
      <c r="C714" t="s">
        <v>71</v>
      </c>
      <c r="D714" t="s">
        <v>289</v>
      </c>
      <c r="E714" t="s">
        <v>73</v>
      </c>
      <c r="F714" t="s">
        <v>74</v>
      </c>
      <c r="G714">
        <v>242128</v>
      </c>
      <c r="H714" t="s">
        <v>74</v>
      </c>
      <c r="I714" t="s">
        <v>75</v>
      </c>
      <c r="J714" t="s">
        <v>74</v>
      </c>
      <c r="K714" t="s">
        <v>3052</v>
      </c>
      <c r="L714" t="s">
        <v>77</v>
      </c>
      <c r="M714" t="s">
        <v>78</v>
      </c>
      <c r="N714" t="s">
        <v>1064</v>
      </c>
      <c r="O714" t="s">
        <v>1065</v>
      </c>
      <c r="P714" t="s">
        <v>2984</v>
      </c>
      <c r="X714">
        <v>16</v>
      </c>
      <c r="AF714" t="s">
        <v>482</v>
      </c>
      <c r="AG714" t="s">
        <v>296</v>
      </c>
      <c r="AH714" t="s">
        <v>482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2.4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247.2</v>
      </c>
      <c r="BE714">
        <v>0</v>
      </c>
      <c r="BF714">
        <v>640</v>
      </c>
      <c r="BG714">
        <v>0</v>
      </c>
      <c r="BH714">
        <v>0</v>
      </c>
      <c r="BI714">
        <v>128</v>
      </c>
      <c r="BJ714">
        <v>0</v>
      </c>
      <c r="BK714">
        <v>0</v>
      </c>
      <c r="BL714">
        <v>0</v>
      </c>
      <c r="BM714">
        <v>0</v>
      </c>
      <c r="BN714">
        <v>1017.6</v>
      </c>
      <c r="BO714">
        <v>162.81</v>
      </c>
      <c r="BP714">
        <v>40.71</v>
      </c>
      <c r="BQ714">
        <f t="shared" si="11"/>
        <v>1139.7</v>
      </c>
      <c r="BR714" t="s">
        <v>83</v>
      </c>
    </row>
    <row r="715" spans="1:70">
      <c r="A715" t="s">
        <v>3053</v>
      </c>
      <c r="B715" t="s">
        <v>3054</v>
      </c>
      <c r="C715" t="s">
        <v>71</v>
      </c>
      <c r="D715" t="s">
        <v>289</v>
      </c>
      <c r="E715" t="s">
        <v>73</v>
      </c>
      <c r="F715" t="s">
        <v>74</v>
      </c>
      <c r="G715">
        <v>242129</v>
      </c>
      <c r="H715" t="s">
        <v>74</v>
      </c>
      <c r="I715" t="s">
        <v>75</v>
      </c>
      <c r="J715" t="s">
        <v>74</v>
      </c>
      <c r="K715" t="s">
        <v>3055</v>
      </c>
      <c r="L715" t="s">
        <v>77</v>
      </c>
      <c r="M715" t="s">
        <v>78</v>
      </c>
      <c r="N715" t="s">
        <v>337</v>
      </c>
      <c r="O715" t="s">
        <v>1739</v>
      </c>
      <c r="P715" t="s">
        <v>2984</v>
      </c>
      <c r="X715">
        <v>11</v>
      </c>
      <c r="AF715" t="s">
        <v>470</v>
      </c>
      <c r="AG715" t="s">
        <v>296</v>
      </c>
      <c r="AH715" t="s">
        <v>470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1.65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508.09</v>
      </c>
      <c r="BE715">
        <v>0</v>
      </c>
      <c r="BF715">
        <v>440</v>
      </c>
      <c r="BG715">
        <v>0</v>
      </c>
      <c r="BH715">
        <v>0</v>
      </c>
      <c r="BI715">
        <v>88</v>
      </c>
      <c r="BJ715">
        <v>0</v>
      </c>
      <c r="BK715">
        <v>0</v>
      </c>
      <c r="BL715">
        <v>0</v>
      </c>
      <c r="BM715">
        <v>0</v>
      </c>
      <c r="BN715">
        <v>1037.74</v>
      </c>
      <c r="BO715">
        <v>166.03</v>
      </c>
      <c r="BP715">
        <v>41.51</v>
      </c>
      <c r="BQ715">
        <f t="shared" si="11"/>
        <v>1162.26</v>
      </c>
      <c r="BR715" t="s">
        <v>337</v>
      </c>
    </row>
    <row r="716" spans="1:70">
      <c r="A716" t="s">
        <v>3056</v>
      </c>
      <c r="B716" t="s">
        <v>3057</v>
      </c>
      <c r="C716" t="s">
        <v>71</v>
      </c>
      <c r="D716" t="s">
        <v>289</v>
      </c>
      <c r="E716" t="s">
        <v>73</v>
      </c>
      <c r="F716" t="s">
        <v>74</v>
      </c>
      <c r="G716">
        <v>242131</v>
      </c>
      <c r="H716" t="s">
        <v>74</v>
      </c>
      <c r="I716" t="s">
        <v>75</v>
      </c>
      <c r="J716" t="s">
        <v>74</v>
      </c>
      <c r="K716" t="s">
        <v>3058</v>
      </c>
      <c r="L716" t="s">
        <v>77</v>
      </c>
      <c r="M716" t="s">
        <v>78</v>
      </c>
      <c r="N716" t="s">
        <v>1101</v>
      </c>
      <c r="O716" t="s">
        <v>1102</v>
      </c>
      <c r="P716" t="s">
        <v>2984</v>
      </c>
      <c r="X716">
        <v>12</v>
      </c>
      <c r="AF716" t="s">
        <v>379</v>
      </c>
      <c r="AG716" t="s">
        <v>296</v>
      </c>
      <c r="AH716" t="s">
        <v>379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1.8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554.28</v>
      </c>
      <c r="BE716">
        <v>0</v>
      </c>
      <c r="BF716">
        <v>480</v>
      </c>
      <c r="BG716">
        <v>0</v>
      </c>
      <c r="BH716">
        <v>0</v>
      </c>
      <c r="BI716">
        <v>96</v>
      </c>
      <c r="BJ716">
        <v>0</v>
      </c>
      <c r="BK716">
        <v>0</v>
      </c>
      <c r="BL716">
        <v>0</v>
      </c>
      <c r="BM716">
        <v>0</v>
      </c>
      <c r="BN716">
        <v>1132.08</v>
      </c>
      <c r="BO716">
        <v>181.13</v>
      </c>
      <c r="BP716">
        <v>45.28</v>
      </c>
      <c r="BQ716">
        <f t="shared" si="11"/>
        <v>1267.93</v>
      </c>
      <c r="BR716" t="s">
        <v>1101</v>
      </c>
    </row>
    <row r="717" spans="1:70">
      <c r="A717" t="s">
        <v>3059</v>
      </c>
      <c r="B717" t="s">
        <v>3060</v>
      </c>
      <c r="C717" t="s">
        <v>71</v>
      </c>
      <c r="D717" t="s">
        <v>289</v>
      </c>
      <c r="E717" t="s">
        <v>73</v>
      </c>
      <c r="F717" t="s">
        <v>74</v>
      </c>
      <c r="G717">
        <v>242133</v>
      </c>
      <c r="H717" t="s">
        <v>74</v>
      </c>
      <c r="I717" t="s">
        <v>75</v>
      </c>
      <c r="J717" t="s">
        <v>74</v>
      </c>
      <c r="K717" t="s">
        <v>3061</v>
      </c>
      <c r="L717" t="s">
        <v>77</v>
      </c>
      <c r="M717" t="s">
        <v>78</v>
      </c>
      <c r="N717" t="s">
        <v>343</v>
      </c>
      <c r="O717" t="s">
        <v>1275</v>
      </c>
      <c r="P717" t="s">
        <v>2984</v>
      </c>
      <c r="X717">
        <v>12</v>
      </c>
      <c r="AF717" t="s">
        <v>379</v>
      </c>
      <c r="AG717" t="s">
        <v>296</v>
      </c>
      <c r="AH717" t="s">
        <v>379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1.8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185.4</v>
      </c>
      <c r="BE717">
        <v>0</v>
      </c>
      <c r="BF717">
        <v>480</v>
      </c>
      <c r="BG717">
        <v>0</v>
      </c>
      <c r="BH717">
        <v>0</v>
      </c>
      <c r="BI717">
        <v>96</v>
      </c>
      <c r="BJ717">
        <v>0</v>
      </c>
      <c r="BK717">
        <v>0</v>
      </c>
      <c r="BL717">
        <v>0</v>
      </c>
      <c r="BM717">
        <v>0</v>
      </c>
      <c r="BN717">
        <v>763.2</v>
      </c>
      <c r="BO717">
        <v>122.11</v>
      </c>
      <c r="BP717">
        <v>30.53</v>
      </c>
      <c r="BQ717">
        <f t="shared" si="11"/>
        <v>854.78000000000009</v>
      </c>
      <c r="BR717" t="s">
        <v>343</v>
      </c>
    </row>
    <row r="718" spans="1:70">
      <c r="A718" t="s">
        <v>3062</v>
      </c>
      <c r="B718" t="s">
        <v>3063</v>
      </c>
      <c r="C718" t="s">
        <v>71</v>
      </c>
      <c r="D718" t="s">
        <v>289</v>
      </c>
      <c r="E718" t="s">
        <v>73</v>
      </c>
      <c r="F718" t="s">
        <v>74</v>
      </c>
      <c r="G718">
        <v>242136</v>
      </c>
      <c r="H718" t="s">
        <v>74</v>
      </c>
      <c r="I718" t="s">
        <v>75</v>
      </c>
      <c r="J718" t="s">
        <v>74</v>
      </c>
      <c r="K718" t="s">
        <v>3064</v>
      </c>
      <c r="L718" t="s">
        <v>77</v>
      </c>
      <c r="M718" t="s">
        <v>78</v>
      </c>
      <c r="N718" t="s">
        <v>337</v>
      </c>
      <c r="O718" t="s">
        <v>2543</v>
      </c>
      <c r="P718" t="s">
        <v>2984</v>
      </c>
      <c r="X718">
        <v>12</v>
      </c>
      <c r="AF718" t="s">
        <v>379</v>
      </c>
      <c r="AG718" t="s">
        <v>296</v>
      </c>
      <c r="AH718" t="s">
        <v>379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1.8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554.28</v>
      </c>
      <c r="BE718">
        <v>0</v>
      </c>
      <c r="BF718">
        <v>480</v>
      </c>
      <c r="BG718">
        <v>0</v>
      </c>
      <c r="BH718">
        <v>0</v>
      </c>
      <c r="BI718">
        <v>96</v>
      </c>
      <c r="BJ718">
        <v>0</v>
      </c>
      <c r="BK718">
        <v>0</v>
      </c>
      <c r="BL718">
        <v>0</v>
      </c>
      <c r="BM718">
        <v>0</v>
      </c>
      <c r="BN718">
        <v>1132.08</v>
      </c>
      <c r="BO718">
        <v>181.13</v>
      </c>
      <c r="BP718">
        <v>45.28</v>
      </c>
      <c r="BQ718">
        <f t="shared" si="11"/>
        <v>1267.93</v>
      </c>
      <c r="BR718" t="s">
        <v>337</v>
      </c>
    </row>
    <row r="719" spans="1:70">
      <c r="A719" t="s">
        <v>3065</v>
      </c>
      <c r="B719" t="s">
        <v>3066</v>
      </c>
      <c r="C719" t="s">
        <v>71</v>
      </c>
      <c r="D719" t="s">
        <v>289</v>
      </c>
      <c r="E719" t="s">
        <v>73</v>
      </c>
      <c r="F719" t="s">
        <v>74</v>
      </c>
      <c r="G719">
        <v>242137</v>
      </c>
      <c r="H719" t="s">
        <v>74</v>
      </c>
      <c r="I719" t="s">
        <v>75</v>
      </c>
      <c r="J719" t="s">
        <v>74</v>
      </c>
      <c r="K719" t="s">
        <v>3067</v>
      </c>
      <c r="L719" t="s">
        <v>77</v>
      </c>
      <c r="M719" t="s">
        <v>78</v>
      </c>
      <c r="N719" t="s">
        <v>330</v>
      </c>
      <c r="O719" t="s">
        <v>845</v>
      </c>
      <c r="P719" t="s">
        <v>2984</v>
      </c>
      <c r="X719">
        <v>24</v>
      </c>
      <c r="AF719" t="s">
        <v>1177</v>
      </c>
      <c r="AG719" t="s">
        <v>296</v>
      </c>
      <c r="AH719" t="s">
        <v>1177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3.6</v>
      </c>
      <c r="AT719">
        <v>0</v>
      </c>
      <c r="AU719">
        <v>0</v>
      </c>
      <c r="AV719">
        <v>0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1108.56</v>
      </c>
      <c r="BE719">
        <v>0</v>
      </c>
      <c r="BF719">
        <v>960</v>
      </c>
      <c r="BG719">
        <v>0</v>
      </c>
      <c r="BH719">
        <v>0</v>
      </c>
      <c r="BI719">
        <v>192</v>
      </c>
      <c r="BJ719">
        <v>0</v>
      </c>
      <c r="BK719">
        <v>0</v>
      </c>
      <c r="BL719">
        <v>0</v>
      </c>
      <c r="BM719">
        <v>0</v>
      </c>
      <c r="BN719">
        <v>2264.16</v>
      </c>
      <c r="BO719">
        <v>362.27</v>
      </c>
      <c r="BP719">
        <v>90.56</v>
      </c>
      <c r="BQ719">
        <f t="shared" si="11"/>
        <v>2535.87</v>
      </c>
      <c r="BR719" t="s">
        <v>332</v>
      </c>
    </row>
    <row r="720" spans="1:70">
      <c r="A720" t="s">
        <v>3068</v>
      </c>
      <c r="B720" t="s">
        <v>3069</v>
      </c>
      <c r="C720" t="s">
        <v>71</v>
      </c>
      <c r="D720" t="s">
        <v>289</v>
      </c>
      <c r="E720" t="s">
        <v>73</v>
      </c>
      <c r="F720" t="s">
        <v>74</v>
      </c>
      <c r="G720">
        <v>242174</v>
      </c>
      <c r="H720" t="s">
        <v>74</v>
      </c>
      <c r="I720" t="s">
        <v>75</v>
      </c>
      <c r="J720" t="s">
        <v>74</v>
      </c>
      <c r="K720" t="s">
        <v>3070</v>
      </c>
      <c r="L720" t="s">
        <v>77</v>
      </c>
      <c r="M720" t="s">
        <v>78</v>
      </c>
      <c r="N720" t="s">
        <v>591</v>
      </c>
      <c r="O720" t="s">
        <v>3071</v>
      </c>
      <c r="P720" t="s">
        <v>221</v>
      </c>
      <c r="V720">
        <v>1</v>
      </c>
      <c r="AF720" t="s">
        <v>295</v>
      </c>
      <c r="AG720" t="s">
        <v>296</v>
      </c>
      <c r="AH720" t="s">
        <v>295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0.15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423.55</v>
      </c>
      <c r="BE720">
        <v>0</v>
      </c>
      <c r="BF720">
        <v>40</v>
      </c>
      <c r="BG720">
        <v>0</v>
      </c>
      <c r="BH720">
        <v>0</v>
      </c>
      <c r="BI720">
        <v>8</v>
      </c>
      <c r="BJ720">
        <v>0</v>
      </c>
      <c r="BK720">
        <v>0</v>
      </c>
      <c r="BL720">
        <v>0</v>
      </c>
      <c r="BM720">
        <v>0</v>
      </c>
      <c r="BN720">
        <v>471.7</v>
      </c>
      <c r="BO720">
        <v>75.47</v>
      </c>
      <c r="BP720">
        <v>18.87</v>
      </c>
      <c r="BQ720">
        <f t="shared" si="11"/>
        <v>528.29999999999995</v>
      </c>
      <c r="BR720" t="s">
        <v>591</v>
      </c>
    </row>
    <row r="721" spans="1:70">
      <c r="A721" t="s">
        <v>3072</v>
      </c>
      <c r="B721" t="s">
        <v>3073</v>
      </c>
      <c r="C721" t="s">
        <v>71</v>
      </c>
      <c r="D721" t="s">
        <v>289</v>
      </c>
      <c r="E721" t="s">
        <v>73</v>
      </c>
      <c r="F721" t="s">
        <v>74</v>
      </c>
      <c r="G721">
        <v>242173</v>
      </c>
      <c r="H721" t="s">
        <v>74</v>
      </c>
      <c r="I721" t="s">
        <v>75</v>
      </c>
      <c r="J721" t="s">
        <v>74</v>
      </c>
      <c r="K721" t="s">
        <v>3074</v>
      </c>
      <c r="L721" t="s">
        <v>77</v>
      </c>
      <c r="M721" t="s">
        <v>78</v>
      </c>
      <c r="N721" t="s">
        <v>343</v>
      </c>
      <c r="O721" t="s">
        <v>1202</v>
      </c>
      <c r="P721" t="s">
        <v>221</v>
      </c>
      <c r="Z721">
        <v>2</v>
      </c>
      <c r="AF721" t="s">
        <v>339</v>
      </c>
      <c r="AG721" t="s">
        <v>296</v>
      </c>
      <c r="AH721" t="s">
        <v>339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0.3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327.7</v>
      </c>
      <c r="BE721">
        <v>0</v>
      </c>
      <c r="BF721">
        <v>80</v>
      </c>
      <c r="BG721">
        <v>0</v>
      </c>
      <c r="BH721">
        <v>0</v>
      </c>
      <c r="BI721">
        <v>16</v>
      </c>
      <c r="BJ721">
        <v>0</v>
      </c>
      <c r="BK721">
        <v>0</v>
      </c>
      <c r="BL721">
        <v>0</v>
      </c>
      <c r="BM721">
        <v>0</v>
      </c>
      <c r="BN721">
        <v>424</v>
      </c>
      <c r="BO721">
        <v>67.84</v>
      </c>
      <c r="BP721">
        <v>16.96</v>
      </c>
      <c r="BQ721">
        <f t="shared" si="11"/>
        <v>474.88000000000005</v>
      </c>
      <c r="BR721" t="s">
        <v>343</v>
      </c>
    </row>
    <row r="722" spans="1:70">
      <c r="A722" t="s">
        <v>3075</v>
      </c>
      <c r="B722" t="s">
        <v>3076</v>
      </c>
      <c r="C722" t="s">
        <v>71</v>
      </c>
      <c r="D722" t="s">
        <v>289</v>
      </c>
      <c r="E722" t="s">
        <v>73</v>
      </c>
      <c r="F722" t="s">
        <v>74</v>
      </c>
      <c r="G722">
        <v>242172</v>
      </c>
      <c r="H722" t="s">
        <v>74</v>
      </c>
      <c r="I722" t="s">
        <v>75</v>
      </c>
      <c r="J722" t="s">
        <v>74</v>
      </c>
      <c r="K722" t="s">
        <v>3077</v>
      </c>
      <c r="L722" t="s">
        <v>77</v>
      </c>
      <c r="M722" t="s">
        <v>78</v>
      </c>
      <c r="N722" t="s">
        <v>421</v>
      </c>
      <c r="O722" t="s">
        <v>422</v>
      </c>
      <c r="P722" t="s">
        <v>221</v>
      </c>
      <c r="X722">
        <v>6</v>
      </c>
      <c r="AF722" t="s">
        <v>400</v>
      </c>
      <c r="AG722" t="s">
        <v>296</v>
      </c>
      <c r="AH722" t="s">
        <v>400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0.9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277.14</v>
      </c>
      <c r="BE722">
        <v>0</v>
      </c>
      <c r="BF722">
        <v>240</v>
      </c>
      <c r="BG722">
        <v>0</v>
      </c>
      <c r="BH722">
        <v>0</v>
      </c>
      <c r="BI722">
        <v>48</v>
      </c>
      <c r="BJ722">
        <v>0</v>
      </c>
      <c r="BK722">
        <v>0</v>
      </c>
      <c r="BL722">
        <v>0</v>
      </c>
      <c r="BM722">
        <v>0</v>
      </c>
      <c r="BN722">
        <v>566.04</v>
      </c>
      <c r="BO722">
        <v>90.56</v>
      </c>
      <c r="BP722">
        <v>22.65</v>
      </c>
      <c r="BQ722">
        <f t="shared" si="11"/>
        <v>633.94999999999993</v>
      </c>
      <c r="BR722" t="s">
        <v>423</v>
      </c>
    </row>
    <row r="723" spans="1:70">
      <c r="A723" t="s">
        <v>3078</v>
      </c>
      <c r="B723" t="s">
        <v>3079</v>
      </c>
      <c r="C723" t="s">
        <v>71</v>
      </c>
      <c r="D723" t="s">
        <v>289</v>
      </c>
      <c r="E723" t="s">
        <v>73</v>
      </c>
      <c r="F723" t="s">
        <v>74</v>
      </c>
      <c r="G723">
        <v>242177</v>
      </c>
      <c r="H723" t="s">
        <v>74</v>
      </c>
      <c r="I723" t="s">
        <v>75</v>
      </c>
      <c r="J723" t="s">
        <v>74</v>
      </c>
      <c r="K723" t="s">
        <v>3080</v>
      </c>
      <c r="L723" t="s">
        <v>77</v>
      </c>
      <c r="M723" t="s">
        <v>78</v>
      </c>
      <c r="N723" t="s">
        <v>964</v>
      </c>
      <c r="O723" t="s">
        <v>1050</v>
      </c>
      <c r="P723" t="s">
        <v>221</v>
      </c>
      <c r="T723">
        <v>3</v>
      </c>
      <c r="AF723" t="s">
        <v>1513</v>
      </c>
      <c r="AG723" t="s">
        <v>296</v>
      </c>
      <c r="AH723" t="s">
        <v>1513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109.38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4587.63</v>
      </c>
      <c r="BE723">
        <v>0</v>
      </c>
      <c r="BF723">
        <v>1374.24</v>
      </c>
      <c r="BG723">
        <v>0</v>
      </c>
      <c r="BH723">
        <v>0</v>
      </c>
      <c r="BI723">
        <v>1264.8599999999999</v>
      </c>
      <c r="BJ723">
        <v>0</v>
      </c>
      <c r="BK723">
        <v>0</v>
      </c>
      <c r="BL723">
        <v>0</v>
      </c>
      <c r="BM723">
        <v>0</v>
      </c>
      <c r="BN723">
        <v>7336.11</v>
      </c>
      <c r="BO723">
        <v>1173.78</v>
      </c>
      <c r="BP723">
        <v>293.45</v>
      </c>
      <c r="BQ723">
        <f t="shared" si="11"/>
        <v>8216.4399999999987</v>
      </c>
      <c r="BR723" t="s">
        <v>964</v>
      </c>
    </row>
    <row r="724" spans="1:70">
      <c r="A724" t="s">
        <v>3081</v>
      </c>
      <c r="B724" t="s">
        <v>3082</v>
      </c>
      <c r="C724" t="s">
        <v>71</v>
      </c>
      <c r="D724" t="s">
        <v>289</v>
      </c>
      <c r="E724" t="s">
        <v>73</v>
      </c>
      <c r="F724" t="s">
        <v>74</v>
      </c>
      <c r="G724">
        <v>242171</v>
      </c>
      <c r="H724" t="s">
        <v>74</v>
      </c>
      <c r="I724" t="s">
        <v>75</v>
      </c>
      <c r="J724" t="s">
        <v>74</v>
      </c>
      <c r="K724" t="s">
        <v>3083</v>
      </c>
      <c r="L724" t="s">
        <v>77</v>
      </c>
      <c r="M724" t="s">
        <v>78</v>
      </c>
      <c r="N724" t="s">
        <v>137</v>
      </c>
      <c r="O724" t="s">
        <v>1142</v>
      </c>
      <c r="P724" t="s">
        <v>221</v>
      </c>
      <c r="X724">
        <v>15</v>
      </c>
      <c r="AF724" t="s">
        <v>235</v>
      </c>
      <c r="AG724" t="s">
        <v>296</v>
      </c>
      <c r="AH724" t="s">
        <v>235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2.25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692.85</v>
      </c>
      <c r="BE724">
        <v>0</v>
      </c>
      <c r="BF724">
        <v>600</v>
      </c>
      <c r="BG724">
        <v>0</v>
      </c>
      <c r="BH724">
        <v>0</v>
      </c>
      <c r="BI724">
        <v>120</v>
      </c>
      <c r="BJ724">
        <v>0</v>
      </c>
      <c r="BK724">
        <v>0</v>
      </c>
      <c r="BL724">
        <v>0</v>
      </c>
      <c r="BM724">
        <v>0</v>
      </c>
      <c r="BN724">
        <v>1415.1</v>
      </c>
      <c r="BO724">
        <v>226.42</v>
      </c>
      <c r="BP724">
        <v>56.6</v>
      </c>
      <c r="BQ724">
        <f t="shared" si="11"/>
        <v>1584.92</v>
      </c>
      <c r="BR724" t="s">
        <v>141</v>
      </c>
    </row>
    <row r="725" spans="1:70">
      <c r="A725" t="s">
        <v>3084</v>
      </c>
      <c r="B725" t="s">
        <v>3085</v>
      </c>
      <c r="C725" t="s">
        <v>71</v>
      </c>
      <c r="D725" t="s">
        <v>289</v>
      </c>
      <c r="E725" t="s">
        <v>73</v>
      </c>
      <c r="F725" t="s">
        <v>74</v>
      </c>
      <c r="G725">
        <v>242165</v>
      </c>
      <c r="H725" t="s">
        <v>74</v>
      </c>
      <c r="I725" t="s">
        <v>75</v>
      </c>
      <c r="J725" t="s">
        <v>74</v>
      </c>
      <c r="K725" t="s">
        <v>3086</v>
      </c>
      <c r="L725" t="s">
        <v>77</v>
      </c>
      <c r="M725" t="s">
        <v>78</v>
      </c>
      <c r="N725" t="s">
        <v>499</v>
      </c>
      <c r="O725" t="s">
        <v>1811</v>
      </c>
      <c r="P725" t="s">
        <v>221</v>
      </c>
      <c r="X725">
        <v>10</v>
      </c>
      <c r="AF725" t="s">
        <v>372</v>
      </c>
      <c r="AG725" t="s">
        <v>296</v>
      </c>
      <c r="AH725" t="s">
        <v>372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1.5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461.9</v>
      </c>
      <c r="BE725">
        <v>0</v>
      </c>
      <c r="BF725">
        <v>400</v>
      </c>
      <c r="BG725">
        <v>0</v>
      </c>
      <c r="BH725">
        <v>0</v>
      </c>
      <c r="BI725">
        <v>80</v>
      </c>
      <c r="BJ725">
        <v>0</v>
      </c>
      <c r="BK725">
        <v>0</v>
      </c>
      <c r="BL725">
        <v>0</v>
      </c>
      <c r="BM725">
        <v>0</v>
      </c>
      <c r="BN725">
        <v>943.4</v>
      </c>
      <c r="BO725">
        <v>150.94</v>
      </c>
      <c r="BP725">
        <v>37.74</v>
      </c>
      <c r="BQ725">
        <f t="shared" si="11"/>
        <v>1056.5999999999999</v>
      </c>
      <c r="BR725" t="s">
        <v>501</v>
      </c>
    </row>
    <row r="726" spans="1:70">
      <c r="A726" t="s">
        <v>3087</v>
      </c>
      <c r="B726" t="s">
        <v>3088</v>
      </c>
      <c r="C726" t="s">
        <v>71</v>
      </c>
      <c r="D726" t="s">
        <v>289</v>
      </c>
      <c r="E726" t="s">
        <v>73</v>
      </c>
      <c r="F726" t="s">
        <v>74</v>
      </c>
      <c r="G726" t="s">
        <v>74</v>
      </c>
      <c r="H726" t="s">
        <v>74</v>
      </c>
      <c r="I726" t="s">
        <v>75</v>
      </c>
      <c r="J726" t="s">
        <v>74</v>
      </c>
      <c r="K726" t="s">
        <v>3089</v>
      </c>
      <c r="L726" t="s">
        <v>77</v>
      </c>
      <c r="M726" t="s">
        <v>78</v>
      </c>
      <c r="N726" t="s">
        <v>3090</v>
      </c>
      <c r="O726" t="s">
        <v>3091</v>
      </c>
      <c r="P726" t="s">
        <v>221</v>
      </c>
      <c r="V726">
        <v>1</v>
      </c>
      <c r="AF726" t="s">
        <v>295</v>
      </c>
      <c r="AG726" t="s">
        <v>296</v>
      </c>
      <c r="AH726" t="s">
        <v>295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0.15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375.85</v>
      </c>
      <c r="BE726">
        <v>0</v>
      </c>
      <c r="BF726">
        <v>40</v>
      </c>
      <c r="BG726">
        <v>0</v>
      </c>
      <c r="BH726">
        <v>0</v>
      </c>
      <c r="BI726">
        <v>8</v>
      </c>
      <c r="BJ726">
        <v>0</v>
      </c>
      <c r="BK726">
        <v>0</v>
      </c>
      <c r="BL726">
        <v>0</v>
      </c>
      <c r="BM726">
        <v>0</v>
      </c>
      <c r="BN726">
        <v>424</v>
      </c>
      <c r="BO726">
        <v>67.84</v>
      </c>
      <c r="BP726">
        <v>16.96</v>
      </c>
      <c r="BQ726">
        <f t="shared" si="11"/>
        <v>474.88000000000005</v>
      </c>
      <c r="BR726" t="s">
        <v>371</v>
      </c>
    </row>
    <row r="727" spans="1:70">
      <c r="A727" t="s">
        <v>3092</v>
      </c>
      <c r="B727" t="s">
        <v>3093</v>
      </c>
      <c r="C727" t="s">
        <v>71</v>
      </c>
      <c r="D727" t="s">
        <v>289</v>
      </c>
      <c r="E727" t="s">
        <v>73</v>
      </c>
      <c r="F727" t="s">
        <v>74</v>
      </c>
      <c r="G727">
        <v>219683</v>
      </c>
      <c r="H727" t="s">
        <v>74</v>
      </c>
      <c r="I727" t="s">
        <v>75</v>
      </c>
      <c r="J727" t="s">
        <v>74</v>
      </c>
      <c r="K727" t="s">
        <v>3094</v>
      </c>
      <c r="L727" t="s">
        <v>77</v>
      </c>
      <c r="M727" t="s">
        <v>78</v>
      </c>
      <c r="N727" t="s">
        <v>801</v>
      </c>
      <c r="O727" t="s">
        <v>806</v>
      </c>
      <c r="P727" t="s">
        <v>3095</v>
      </c>
      <c r="T727">
        <v>2</v>
      </c>
      <c r="AF727" t="s">
        <v>808</v>
      </c>
      <c r="AG727" t="s">
        <v>296</v>
      </c>
      <c r="AH727" t="s">
        <v>808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72.92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2142.2600000000002</v>
      </c>
      <c r="BE727">
        <v>0</v>
      </c>
      <c r="BF727">
        <v>916.16</v>
      </c>
      <c r="BG727">
        <v>0</v>
      </c>
      <c r="BH727">
        <v>0</v>
      </c>
      <c r="BI727">
        <v>843.24</v>
      </c>
      <c r="BJ727">
        <v>0</v>
      </c>
      <c r="BK727">
        <v>0</v>
      </c>
      <c r="BL727">
        <v>0</v>
      </c>
      <c r="BM727">
        <v>0</v>
      </c>
      <c r="BN727">
        <v>3974.58</v>
      </c>
      <c r="BO727">
        <v>635.94000000000005</v>
      </c>
      <c r="BP727">
        <v>158.99</v>
      </c>
      <c r="BQ727">
        <f t="shared" si="11"/>
        <v>4451.5300000000007</v>
      </c>
      <c r="BR727" t="s">
        <v>801</v>
      </c>
    </row>
    <row r="728" spans="1:70">
      <c r="A728" t="s">
        <v>3096</v>
      </c>
      <c r="B728" t="s">
        <v>3097</v>
      </c>
      <c r="C728" t="s">
        <v>71</v>
      </c>
      <c r="D728" t="s">
        <v>289</v>
      </c>
      <c r="E728" t="s">
        <v>73</v>
      </c>
      <c r="F728" t="s">
        <v>74</v>
      </c>
      <c r="G728">
        <v>219689</v>
      </c>
      <c r="H728" t="s">
        <v>74</v>
      </c>
      <c r="I728" t="s">
        <v>75</v>
      </c>
      <c r="J728" t="s">
        <v>74</v>
      </c>
      <c r="K728" t="s">
        <v>3098</v>
      </c>
      <c r="L728" t="s">
        <v>77</v>
      </c>
      <c r="M728" t="s">
        <v>78</v>
      </c>
      <c r="N728" t="s">
        <v>161</v>
      </c>
      <c r="O728" t="s">
        <v>837</v>
      </c>
      <c r="P728" t="s">
        <v>3095</v>
      </c>
      <c r="T728">
        <v>2</v>
      </c>
      <c r="AF728" t="s">
        <v>808</v>
      </c>
      <c r="AG728" t="s">
        <v>296</v>
      </c>
      <c r="AH728" t="s">
        <v>808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72.92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2142.2600000000002</v>
      </c>
      <c r="BE728">
        <v>0</v>
      </c>
      <c r="BF728">
        <v>916.16</v>
      </c>
      <c r="BG728">
        <v>0</v>
      </c>
      <c r="BH728">
        <v>0</v>
      </c>
      <c r="BI728">
        <v>843.24</v>
      </c>
      <c r="BJ728">
        <v>0</v>
      </c>
      <c r="BK728">
        <v>0</v>
      </c>
      <c r="BL728">
        <v>0</v>
      </c>
      <c r="BM728">
        <v>0</v>
      </c>
      <c r="BN728">
        <v>3974.58</v>
      </c>
      <c r="BO728">
        <v>635.94000000000005</v>
      </c>
      <c r="BP728">
        <v>158.99</v>
      </c>
      <c r="BQ728">
        <f t="shared" si="11"/>
        <v>4451.5300000000007</v>
      </c>
      <c r="BR728" t="s">
        <v>83</v>
      </c>
    </row>
    <row r="729" spans="1:70">
      <c r="A729" t="s">
        <v>3099</v>
      </c>
      <c r="B729" t="s">
        <v>3100</v>
      </c>
      <c r="C729" t="s">
        <v>71</v>
      </c>
      <c r="D729" t="s">
        <v>289</v>
      </c>
      <c r="E729" t="s">
        <v>73</v>
      </c>
      <c r="F729" t="s">
        <v>74</v>
      </c>
      <c r="G729">
        <v>219662</v>
      </c>
      <c r="H729" t="s">
        <v>74</v>
      </c>
      <c r="I729" t="s">
        <v>75</v>
      </c>
      <c r="J729" t="s">
        <v>74</v>
      </c>
      <c r="K729" t="s">
        <v>3101</v>
      </c>
      <c r="L729" t="s">
        <v>77</v>
      </c>
      <c r="M729" t="s">
        <v>78</v>
      </c>
      <c r="N729" t="s">
        <v>821</v>
      </c>
      <c r="O729" t="s">
        <v>822</v>
      </c>
      <c r="P729" t="s">
        <v>3095</v>
      </c>
      <c r="T729">
        <v>2</v>
      </c>
      <c r="AF729" t="s">
        <v>808</v>
      </c>
      <c r="AG729" t="s">
        <v>296</v>
      </c>
      <c r="AH729" t="s">
        <v>808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72.92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2142.2600000000002</v>
      </c>
      <c r="BE729">
        <v>0</v>
      </c>
      <c r="BF729">
        <v>916.16</v>
      </c>
      <c r="BG729">
        <v>0</v>
      </c>
      <c r="BH729">
        <v>0</v>
      </c>
      <c r="BI729">
        <v>843.24</v>
      </c>
      <c r="BJ729">
        <v>0</v>
      </c>
      <c r="BK729">
        <v>0</v>
      </c>
      <c r="BL729">
        <v>0</v>
      </c>
      <c r="BM729">
        <v>0</v>
      </c>
      <c r="BN729">
        <v>3974.58</v>
      </c>
      <c r="BO729">
        <v>635.94000000000005</v>
      </c>
      <c r="BP729">
        <v>158.99</v>
      </c>
      <c r="BQ729">
        <f t="shared" si="11"/>
        <v>4451.5300000000007</v>
      </c>
      <c r="BR729" t="s">
        <v>801</v>
      </c>
    </row>
    <row r="730" spans="1:70">
      <c r="A730" t="s">
        <v>3102</v>
      </c>
      <c r="B730" t="s">
        <v>3103</v>
      </c>
      <c r="C730" t="s">
        <v>71</v>
      </c>
      <c r="D730" t="s">
        <v>289</v>
      </c>
      <c r="E730" t="s">
        <v>73</v>
      </c>
      <c r="F730" t="s">
        <v>74</v>
      </c>
      <c r="G730">
        <v>219693</v>
      </c>
      <c r="H730" t="s">
        <v>74</v>
      </c>
      <c r="I730" t="s">
        <v>75</v>
      </c>
      <c r="K730" t="s">
        <v>3104</v>
      </c>
      <c r="L730" t="s">
        <v>77</v>
      </c>
      <c r="M730" t="s">
        <v>78</v>
      </c>
      <c r="N730" t="s">
        <v>175</v>
      </c>
      <c r="O730" t="s">
        <v>3105</v>
      </c>
      <c r="P730" t="s">
        <v>3095</v>
      </c>
      <c r="T730">
        <v>2</v>
      </c>
      <c r="AF730" t="s">
        <v>808</v>
      </c>
      <c r="AG730" t="s">
        <v>296</v>
      </c>
      <c r="AH730" t="s">
        <v>808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72.92</v>
      </c>
      <c r="AT730">
        <v>0</v>
      </c>
      <c r="AU730">
        <v>0</v>
      </c>
      <c r="AV730">
        <v>0</v>
      </c>
      <c r="AW730">
        <v>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4587.6400000000003</v>
      </c>
      <c r="BE730">
        <v>0</v>
      </c>
      <c r="BF730">
        <v>916.16</v>
      </c>
      <c r="BG730">
        <v>0</v>
      </c>
      <c r="BH730">
        <v>0</v>
      </c>
      <c r="BI730">
        <v>843.24</v>
      </c>
      <c r="BJ730">
        <v>0</v>
      </c>
      <c r="BK730">
        <v>0</v>
      </c>
      <c r="BL730">
        <v>0</v>
      </c>
      <c r="BM730">
        <v>0</v>
      </c>
      <c r="BN730">
        <v>6419.96</v>
      </c>
      <c r="BO730">
        <v>1027.2</v>
      </c>
      <c r="BP730">
        <v>256.81</v>
      </c>
      <c r="BQ730">
        <f t="shared" si="11"/>
        <v>7190.3499999999995</v>
      </c>
      <c r="BR730" t="s">
        <v>175</v>
      </c>
    </row>
    <row r="731" spans="1:70">
      <c r="A731" t="s">
        <v>3106</v>
      </c>
      <c r="B731" t="s">
        <v>3107</v>
      </c>
      <c r="C731" t="s">
        <v>71</v>
      </c>
      <c r="D731" t="s">
        <v>289</v>
      </c>
      <c r="E731" t="s">
        <v>73</v>
      </c>
      <c r="F731" t="s">
        <v>74</v>
      </c>
      <c r="G731">
        <v>219863</v>
      </c>
      <c r="H731" t="s">
        <v>74</v>
      </c>
      <c r="I731" t="s">
        <v>75</v>
      </c>
      <c r="K731" t="s">
        <v>3108</v>
      </c>
      <c r="L731" t="s">
        <v>77</v>
      </c>
      <c r="M731" t="s">
        <v>78</v>
      </c>
      <c r="N731" t="s">
        <v>816</v>
      </c>
      <c r="O731" t="s">
        <v>817</v>
      </c>
      <c r="P731" t="s">
        <v>3095</v>
      </c>
      <c r="X731">
        <v>16</v>
      </c>
      <c r="AF731" t="s">
        <v>482</v>
      </c>
      <c r="AG731" t="s">
        <v>296</v>
      </c>
      <c r="AH731" t="s">
        <v>482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2.4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739.04</v>
      </c>
      <c r="BE731">
        <v>0</v>
      </c>
      <c r="BF731">
        <v>640</v>
      </c>
      <c r="BG731">
        <v>0</v>
      </c>
      <c r="BH731">
        <v>0</v>
      </c>
      <c r="BI731">
        <v>128</v>
      </c>
      <c r="BJ731">
        <v>0</v>
      </c>
      <c r="BK731">
        <v>0</v>
      </c>
      <c r="BL731">
        <v>0</v>
      </c>
      <c r="BM731">
        <v>0</v>
      </c>
      <c r="BN731">
        <v>1509.44</v>
      </c>
      <c r="BO731">
        <v>241.51</v>
      </c>
      <c r="BP731">
        <v>60.38</v>
      </c>
      <c r="BQ731">
        <f t="shared" si="11"/>
        <v>1690.57</v>
      </c>
      <c r="BR731" t="s">
        <v>332</v>
      </c>
    </row>
    <row r="732" spans="1:70">
      <c r="A732" t="s">
        <v>3109</v>
      </c>
      <c r="B732" t="s">
        <v>3110</v>
      </c>
      <c r="C732" t="s">
        <v>71</v>
      </c>
      <c r="D732" t="s">
        <v>289</v>
      </c>
      <c r="E732" t="s">
        <v>73</v>
      </c>
      <c r="F732" t="s">
        <v>74</v>
      </c>
      <c r="G732">
        <v>242198</v>
      </c>
      <c r="H732" t="s">
        <v>74</v>
      </c>
      <c r="I732" t="s">
        <v>75</v>
      </c>
      <c r="J732" t="s">
        <v>74</v>
      </c>
      <c r="K732" t="s">
        <v>3111</v>
      </c>
      <c r="L732" t="s">
        <v>77</v>
      </c>
      <c r="M732" t="s">
        <v>78</v>
      </c>
      <c r="N732" t="s">
        <v>349</v>
      </c>
      <c r="O732" t="s">
        <v>2141</v>
      </c>
      <c r="P732" t="s">
        <v>3095</v>
      </c>
      <c r="X732">
        <v>10</v>
      </c>
      <c r="AF732" t="s">
        <v>372</v>
      </c>
      <c r="AG732" t="s">
        <v>296</v>
      </c>
      <c r="AH732" t="s">
        <v>372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1.5</v>
      </c>
      <c r="AT732">
        <v>0</v>
      </c>
      <c r="AU732">
        <v>0</v>
      </c>
      <c r="AV732">
        <v>0</v>
      </c>
      <c r="AW732">
        <v>0</v>
      </c>
      <c r="AX732">
        <v>0</v>
      </c>
      <c r="AY732">
        <v>0</v>
      </c>
      <c r="AZ732">
        <v>0</v>
      </c>
      <c r="BA732">
        <v>0</v>
      </c>
      <c r="BB732">
        <v>0</v>
      </c>
      <c r="BC732">
        <v>0</v>
      </c>
      <c r="BD732">
        <v>461.9</v>
      </c>
      <c r="BE732">
        <v>0</v>
      </c>
      <c r="BF732">
        <v>400</v>
      </c>
      <c r="BG732">
        <v>0</v>
      </c>
      <c r="BH732">
        <v>0</v>
      </c>
      <c r="BI732">
        <v>80</v>
      </c>
      <c r="BJ732">
        <v>0</v>
      </c>
      <c r="BK732">
        <v>0</v>
      </c>
      <c r="BL732">
        <v>0</v>
      </c>
      <c r="BM732">
        <v>0</v>
      </c>
      <c r="BN732">
        <v>943.4</v>
      </c>
      <c r="BO732">
        <v>150.94</v>
      </c>
      <c r="BP732">
        <v>37.74</v>
      </c>
      <c r="BQ732">
        <f t="shared" si="11"/>
        <v>1056.5999999999999</v>
      </c>
      <c r="BR732" t="s">
        <v>349</v>
      </c>
    </row>
    <row r="733" spans="1:70">
      <c r="A733" t="s">
        <v>3112</v>
      </c>
      <c r="B733" t="s">
        <v>3113</v>
      </c>
      <c r="C733" t="s">
        <v>71</v>
      </c>
      <c r="D733" t="s">
        <v>289</v>
      </c>
      <c r="E733" t="s">
        <v>73</v>
      </c>
      <c r="F733" t="s">
        <v>74</v>
      </c>
      <c r="G733">
        <v>242201</v>
      </c>
      <c r="H733" t="s">
        <v>74</v>
      </c>
      <c r="I733" t="s">
        <v>75</v>
      </c>
      <c r="J733" t="s">
        <v>74</v>
      </c>
      <c r="K733" t="s">
        <v>3114</v>
      </c>
      <c r="L733" t="s">
        <v>77</v>
      </c>
      <c r="M733" t="s">
        <v>78</v>
      </c>
      <c r="N733" t="s">
        <v>591</v>
      </c>
      <c r="O733" t="s">
        <v>3115</v>
      </c>
      <c r="P733" t="s">
        <v>3095</v>
      </c>
      <c r="X733">
        <v>25</v>
      </c>
      <c r="AF733" t="s">
        <v>717</v>
      </c>
      <c r="AG733" t="s">
        <v>296</v>
      </c>
      <c r="AH733" t="s">
        <v>717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3.75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1154.75</v>
      </c>
      <c r="BE733">
        <v>0</v>
      </c>
      <c r="BF733">
        <v>1000</v>
      </c>
      <c r="BG733">
        <v>0</v>
      </c>
      <c r="BH733">
        <v>0</v>
      </c>
      <c r="BI733">
        <v>200</v>
      </c>
      <c r="BJ733">
        <v>0</v>
      </c>
      <c r="BK733">
        <v>0</v>
      </c>
      <c r="BL733">
        <v>0</v>
      </c>
      <c r="BM733">
        <v>0</v>
      </c>
      <c r="BN733">
        <v>2358.5</v>
      </c>
      <c r="BO733">
        <v>377.36</v>
      </c>
      <c r="BP733">
        <v>94.34</v>
      </c>
      <c r="BQ733">
        <f t="shared" si="11"/>
        <v>2641.52</v>
      </c>
      <c r="BR733" t="s">
        <v>591</v>
      </c>
    </row>
    <row r="734" spans="1:70">
      <c r="A734" t="s">
        <v>3116</v>
      </c>
      <c r="B734" t="s">
        <v>3117</v>
      </c>
      <c r="C734" t="s">
        <v>71</v>
      </c>
      <c r="D734" t="s">
        <v>289</v>
      </c>
      <c r="E734" t="s">
        <v>73</v>
      </c>
      <c r="F734" t="s">
        <v>74</v>
      </c>
      <c r="G734">
        <v>242208</v>
      </c>
      <c r="H734" t="s">
        <v>74</v>
      </c>
      <c r="I734" t="s">
        <v>75</v>
      </c>
      <c r="J734" t="s">
        <v>74</v>
      </c>
      <c r="K734" t="s">
        <v>3118</v>
      </c>
      <c r="L734" t="s">
        <v>77</v>
      </c>
      <c r="M734" t="s">
        <v>78</v>
      </c>
      <c r="N734" t="s">
        <v>438</v>
      </c>
      <c r="O734" t="s">
        <v>987</v>
      </c>
      <c r="P734" t="s">
        <v>3095</v>
      </c>
      <c r="X734">
        <v>17</v>
      </c>
      <c r="AF734" t="s">
        <v>464</v>
      </c>
      <c r="AG734" t="s">
        <v>296</v>
      </c>
      <c r="AH734" t="s">
        <v>464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2.5499999999999998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262.64999999999998</v>
      </c>
      <c r="BE734">
        <v>0</v>
      </c>
      <c r="BF734">
        <v>680</v>
      </c>
      <c r="BG734">
        <v>0</v>
      </c>
      <c r="BH734">
        <v>0</v>
      </c>
      <c r="BI734">
        <v>136</v>
      </c>
      <c r="BJ734">
        <v>0</v>
      </c>
      <c r="BK734">
        <v>0</v>
      </c>
      <c r="BL734">
        <v>0</v>
      </c>
      <c r="BM734">
        <v>0</v>
      </c>
      <c r="BN734">
        <v>1081.2</v>
      </c>
      <c r="BO734">
        <v>172.99</v>
      </c>
      <c r="BP734">
        <v>43.25</v>
      </c>
      <c r="BQ734">
        <f t="shared" si="11"/>
        <v>1210.94</v>
      </c>
      <c r="BR734" t="s">
        <v>440</v>
      </c>
    </row>
    <row r="735" spans="1:70">
      <c r="A735" t="s">
        <v>3119</v>
      </c>
      <c r="B735" t="s">
        <v>3120</v>
      </c>
      <c r="C735" t="s">
        <v>71</v>
      </c>
      <c r="D735" t="s">
        <v>289</v>
      </c>
      <c r="E735" t="s">
        <v>73</v>
      </c>
      <c r="F735" t="s">
        <v>74</v>
      </c>
      <c r="G735">
        <v>242212</v>
      </c>
      <c r="H735" t="s">
        <v>74</v>
      </c>
      <c r="I735" t="s">
        <v>75</v>
      </c>
      <c r="J735" t="s">
        <v>74</v>
      </c>
      <c r="K735" t="s">
        <v>3121</v>
      </c>
      <c r="L735" t="s">
        <v>77</v>
      </c>
      <c r="M735" t="s">
        <v>78</v>
      </c>
      <c r="N735" t="s">
        <v>591</v>
      </c>
      <c r="O735" t="s">
        <v>3122</v>
      </c>
      <c r="P735" t="s">
        <v>3095</v>
      </c>
      <c r="X735">
        <v>13</v>
      </c>
      <c r="AF735" t="s">
        <v>434</v>
      </c>
      <c r="AG735" t="s">
        <v>296</v>
      </c>
      <c r="AH735" t="s">
        <v>434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1.95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600.47</v>
      </c>
      <c r="BE735">
        <v>0</v>
      </c>
      <c r="BF735">
        <v>520</v>
      </c>
      <c r="BG735">
        <v>0</v>
      </c>
      <c r="BH735">
        <v>0</v>
      </c>
      <c r="BI735">
        <v>104</v>
      </c>
      <c r="BJ735">
        <v>0</v>
      </c>
      <c r="BK735">
        <v>0</v>
      </c>
      <c r="BL735">
        <v>0</v>
      </c>
      <c r="BM735">
        <v>0</v>
      </c>
      <c r="BN735">
        <v>1226.42</v>
      </c>
      <c r="BO735">
        <v>196.23</v>
      </c>
      <c r="BP735">
        <v>49.06</v>
      </c>
      <c r="BQ735">
        <f t="shared" si="11"/>
        <v>1373.5900000000001</v>
      </c>
      <c r="BR735" t="s">
        <v>591</v>
      </c>
    </row>
    <row r="736" spans="1:70">
      <c r="A736" t="s">
        <v>3123</v>
      </c>
      <c r="B736" t="s">
        <v>3124</v>
      </c>
      <c r="C736" t="s">
        <v>71</v>
      </c>
      <c r="D736" t="s">
        <v>289</v>
      </c>
      <c r="E736" t="s">
        <v>73</v>
      </c>
      <c r="F736" t="s">
        <v>74</v>
      </c>
      <c r="G736">
        <v>242215</v>
      </c>
      <c r="H736" t="s">
        <v>74</v>
      </c>
      <c r="I736" t="s">
        <v>75</v>
      </c>
      <c r="J736" t="s">
        <v>74</v>
      </c>
      <c r="K736" t="s">
        <v>3125</v>
      </c>
      <c r="L736" t="s">
        <v>77</v>
      </c>
      <c r="M736" t="s">
        <v>78</v>
      </c>
      <c r="N736" t="s">
        <v>376</v>
      </c>
      <c r="O736" t="s">
        <v>2200</v>
      </c>
      <c r="P736" t="s">
        <v>3095</v>
      </c>
      <c r="X736">
        <v>6</v>
      </c>
      <c r="AF736" t="s">
        <v>400</v>
      </c>
      <c r="AG736" t="s">
        <v>296</v>
      </c>
      <c r="AH736" t="s">
        <v>400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0.9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277.14</v>
      </c>
      <c r="BE736">
        <v>0</v>
      </c>
      <c r="BF736">
        <v>240</v>
      </c>
      <c r="BG736">
        <v>0</v>
      </c>
      <c r="BH736">
        <v>0</v>
      </c>
      <c r="BI736">
        <v>48</v>
      </c>
      <c r="BJ736">
        <v>0</v>
      </c>
      <c r="BK736">
        <v>0</v>
      </c>
      <c r="BL736">
        <v>0</v>
      </c>
      <c r="BM736">
        <v>0</v>
      </c>
      <c r="BN736">
        <v>566.04</v>
      </c>
      <c r="BO736">
        <v>90.56</v>
      </c>
      <c r="BP736">
        <v>22.65</v>
      </c>
      <c r="BQ736">
        <f t="shared" si="11"/>
        <v>633.94999999999993</v>
      </c>
      <c r="BR736" t="s">
        <v>378</v>
      </c>
    </row>
    <row r="737" spans="1:70">
      <c r="A737" t="s">
        <v>3126</v>
      </c>
      <c r="B737" t="s">
        <v>3127</v>
      </c>
      <c r="C737" t="s">
        <v>71</v>
      </c>
      <c r="D737" t="s">
        <v>289</v>
      </c>
      <c r="E737" t="s">
        <v>73</v>
      </c>
      <c r="F737" t="s">
        <v>74</v>
      </c>
      <c r="G737">
        <v>242221</v>
      </c>
      <c r="H737" t="s">
        <v>74</v>
      </c>
      <c r="I737" t="s">
        <v>75</v>
      </c>
      <c r="J737" t="s">
        <v>74</v>
      </c>
      <c r="K737" t="s">
        <v>3128</v>
      </c>
      <c r="L737" t="s">
        <v>77</v>
      </c>
      <c r="M737" t="s">
        <v>78</v>
      </c>
      <c r="N737" t="s">
        <v>191</v>
      </c>
      <c r="O737" t="s">
        <v>1120</v>
      </c>
      <c r="P737" t="s">
        <v>3095</v>
      </c>
      <c r="X737">
        <v>41</v>
      </c>
      <c r="AF737" t="s">
        <v>3129</v>
      </c>
      <c r="AG737" t="s">
        <v>296</v>
      </c>
      <c r="AH737" t="s">
        <v>3129</v>
      </c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6.15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1893.79</v>
      </c>
      <c r="BE737">
        <v>0</v>
      </c>
      <c r="BF737">
        <v>1640</v>
      </c>
      <c r="BG737">
        <v>0</v>
      </c>
      <c r="BH737">
        <v>0</v>
      </c>
      <c r="BI737">
        <v>328</v>
      </c>
      <c r="BJ737">
        <v>0</v>
      </c>
      <c r="BK737">
        <v>0</v>
      </c>
      <c r="BL737">
        <v>0</v>
      </c>
      <c r="BM737">
        <v>0</v>
      </c>
      <c r="BN737">
        <v>3867.94</v>
      </c>
      <c r="BO737">
        <v>618.87</v>
      </c>
      <c r="BP737">
        <v>154.72</v>
      </c>
      <c r="BQ737">
        <f t="shared" si="11"/>
        <v>4332.09</v>
      </c>
      <c r="BR737" t="s">
        <v>195</v>
      </c>
    </row>
    <row r="738" spans="1:70">
      <c r="A738" t="s">
        <v>3130</v>
      </c>
      <c r="B738" t="s">
        <v>3131</v>
      </c>
      <c r="C738" t="s">
        <v>71</v>
      </c>
      <c r="D738" t="s">
        <v>289</v>
      </c>
      <c r="E738" t="s">
        <v>73</v>
      </c>
      <c r="F738" t="s">
        <v>74</v>
      </c>
      <c r="G738">
        <v>242222</v>
      </c>
      <c r="H738" t="s">
        <v>74</v>
      </c>
      <c r="I738" t="s">
        <v>75</v>
      </c>
      <c r="J738" t="s">
        <v>74</v>
      </c>
      <c r="K738" t="s">
        <v>3132</v>
      </c>
      <c r="L738" t="s">
        <v>77</v>
      </c>
      <c r="M738" t="s">
        <v>78</v>
      </c>
      <c r="N738" t="s">
        <v>591</v>
      </c>
      <c r="O738" t="s">
        <v>3133</v>
      </c>
      <c r="P738" t="s">
        <v>3095</v>
      </c>
      <c r="X738">
        <v>10</v>
      </c>
      <c r="AF738" t="s">
        <v>372</v>
      </c>
      <c r="AG738" t="s">
        <v>296</v>
      </c>
      <c r="AH738" t="s">
        <v>372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1.5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461.9</v>
      </c>
      <c r="BE738">
        <v>0</v>
      </c>
      <c r="BF738">
        <v>400</v>
      </c>
      <c r="BG738">
        <v>0</v>
      </c>
      <c r="BH738">
        <v>0</v>
      </c>
      <c r="BI738">
        <v>80</v>
      </c>
      <c r="BJ738">
        <v>0</v>
      </c>
      <c r="BK738">
        <v>0</v>
      </c>
      <c r="BL738">
        <v>0</v>
      </c>
      <c r="BM738">
        <v>0</v>
      </c>
      <c r="BN738">
        <v>943.4</v>
      </c>
      <c r="BO738">
        <v>150.94</v>
      </c>
      <c r="BP738">
        <v>37.74</v>
      </c>
      <c r="BQ738">
        <f t="shared" si="11"/>
        <v>1056.5999999999999</v>
      </c>
      <c r="BR738" t="s">
        <v>591</v>
      </c>
    </row>
    <row r="739" spans="1:70">
      <c r="A739" t="s">
        <v>3134</v>
      </c>
      <c r="B739" t="s">
        <v>3135</v>
      </c>
      <c r="C739" t="s">
        <v>71</v>
      </c>
      <c r="D739" t="s">
        <v>289</v>
      </c>
      <c r="E739" t="s">
        <v>73</v>
      </c>
      <c r="F739" t="s">
        <v>74</v>
      </c>
      <c r="G739">
        <v>242227</v>
      </c>
      <c r="H739" t="s">
        <v>74</v>
      </c>
      <c r="I739" t="s">
        <v>75</v>
      </c>
      <c r="J739" t="s">
        <v>74</v>
      </c>
      <c r="K739" t="s">
        <v>3136</v>
      </c>
      <c r="L739" t="s">
        <v>77</v>
      </c>
      <c r="M739" t="s">
        <v>78</v>
      </c>
      <c r="N739" t="s">
        <v>343</v>
      </c>
      <c r="O739" t="s">
        <v>1531</v>
      </c>
      <c r="P739" t="s">
        <v>3095</v>
      </c>
      <c r="X739">
        <v>17</v>
      </c>
      <c r="AF739" t="s">
        <v>464</v>
      </c>
      <c r="AG739" t="s">
        <v>296</v>
      </c>
      <c r="AH739" t="s">
        <v>464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2.5499999999999998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262.64999999999998</v>
      </c>
      <c r="BE739">
        <v>0</v>
      </c>
      <c r="BF739">
        <v>680</v>
      </c>
      <c r="BG739">
        <v>0</v>
      </c>
      <c r="BH739">
        <v>0</v>
      </c>
      <c r="BI739">
        <v>136</v>
      </c>
      <c r="BJ739">
        <v>0</v>
      </c>
      <c r="BK739">
        <v>0</v>
      </c>
      <c r="BL739">
        <v>0</v>
      </c>
      <c r="BM739">
        <v>0</v>
      </c>
      <c r="BN739">
        <v>1081.2</v>
      </c>
      <c r="BO739">
        <v>172.99</v>
      </c>
      <c r="BP739">
        <v>43.25</v>
      </c>
      <c r="BQ739">
        <f t="shared" si="11"/>
        <v>1210.94</v>
      </c>
      <c r="BR739" t="s">
        <v>343</v>
      </c>
    </row>
    <row r="740" spans="1:70">
      <c r="A740" t="s">
        <v>3137</v>
      </c>
      <c r="B740" t="s">
        <v>3138</v>
      </c>
      <c r="C740" t="s">
        <v>71</v>
      </c>
      <c r="D740" t="s">
        <v>289</v>
      </c>
      <c r="E740" t="s">
        <v>73</v>
      </c>
      <c r="F740" t="s">
        <v>74</v>
      </c>
      <c r="G740">
        <v>242237</v>
      </c>
      <c r="H740" t="s">
        <v>74</v>
      </c>
      <c r="I740" t="s">
        <v>75</v>
      </c>
      <c r="K740" t="s">
        <v>3139</v>
      </c>
      <c r="L740" t="s">
        <v>77</v>
      </c>
      <c r="M740" t="s">
        <v>78</v>
      </c>
      <c r="N740" t="s">
        <v>832</v>
      </c>
      <c r="O740" t="s">
        <v>3140</v>
      </c>
      <c r="P740" t="s">
        <v>3095</v>
      </c>
      <c r="Z740">
        <v>2</v>
      </c>
      <c r="AF740" t="s">
        <v>339</v>
      </c>
      <c r="AG740" t="s">
        <v>296</v>
      </c>
      <c r="AH740" t="s">
        <v>339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0.3</v>
      </c>
      <c r="AT740">
        <v>0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327.7</v>
      </c>
      <c r="BE740">
        <v>0</v>
      </c>
      <c r="BF740">
        <v>80</v>
      </c>
      <c r="BG740">
        <v>0</v>
      </c>
      <c r="BH740">
        <v>0</v>
      </c>
      <c r="BI740">
        <v>16</v>
      </c>
      <c r="BJ740">
        <v>0</v>
      </c>
      <c r="BK740">
        <v>0</v>
      </c>
      <c r="BL740">
        <v>0</v>
      </c>
      <c r="BM740">
        <v>0</v>
      </c>
      <c r="BN740">
        <v>424</v>
      </c>
      <c r="BO740">
        <v>67.84</v>
      </c>
      <c r="BP740">
        <v>16.96</v>
      </c>
      <c r="BQ740">
        <f t="shared" si="11"/>
        <v>474.88000000000005</v>
      </c>
      <c r="BR740" t="s">
        <v>832</v>
      </c>
    </row>
    <row r="741" spans="1:70">
      <c r="A741" t="s">
        <v>3141</v>
      </c>
      <c r="B741" t="s">
        <v>3142</v>
      </c>
      <c r="C741" t="s">
        <v>71</v>
      </c>
      <c r="D741" t="s">
        <v>289</v>
      </c>
      <c r="E741" t="s">
        <v>73</v>
      </c>
      <c r="F741" t="s">
        <v>74</v>
      </c>
      <c r="G741">
        <v>242246</v>
      </c>
      <c r="H741" t="s">
        <v>74</v>
      </c>
      <c r="I741" t="s">
        <v>75</v>
      </c>
      <c r="J741" t="s">
        <v>74</v>
      </c>
      <c r="K741" t="s">
        <v>3143</v>
      </c>
      <c r="L741" t="s">
        <v>77</v>
      </c>
      <c r="M741" t="s">
        <v>78</v>
      </c>
      <c r="N741" t="s">
        <v>721</v>
      </c>
      <c r="O741" t="s">
        <v>1302</v>
      </c>
      <c r="P741" t="s">
        <v>3095</v>
      </c>
      <c r="X741">
        <v>14</v>
      </c>
      <c r="AF741" t="s">
        <v>413</v>
      </c>
      <c r="AG741" t="s">
        <v>296</v>
      </c>
      <c r="AH741" t="s">
        <v>413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2.1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216.3</v>
      </c>
      <c r="BE741">
        <v>0</v>
      </c>
      <c r="BF741">
        <v>560</v>
      </c>
      <c r="BG741">
        <v>0</v>
      </c>
      <c r="BH741">
        <v>0</v>
      </c>
      <c r="BI741">
        <v>112</v>
      </c>
      <c r="BJ741">
        <v>0</v>
      </c>
      <c r="BK741">
        <v>0</v>
      </c>
      <c r="BL741">
        <v>0</v>
      </c>
      <c r="BM741">
        <v>0</v>
      </c>
      <c r="BN741">
        <v>890.4</v>
      </c>
      <c r="BO741">
        <v>142.47</v>
      </c>
      <c r="BP741">
        <v>35.61</v>
      </c>
      <c r="BQ741">
        <f t="shared" si="11"/>
        <v>997.25999999999988</v>
      </c>
      <c r="BR741" t="s">
        <v>721</v>
      </c>
    </row>
    <row r="742" spans="1:70">
      <c r="A742" t="s">
        <v>3144</v>
      </c>
      <c r="B742" t="s">
        <v>3145</v>
      </c>
      <c r="C742" t="s">
        <v>71</v>
      </c>
      <c r="D742" t="s">
        <v>289</v>
      </c>
      <c r="E742" t="s">
        <v>73</v>
      </c>
      <c r="F742" t="s">
        <v>74</v>
      </c>
      <c r="G742">
        <v>242248</v>
      </c>
      <c r="H742" t="s">
        <v>74</v>
      </c>
      <c r="I742" t="s">
        <v>75</v>
      </c>
      <c r="J742" t="s">
        <v>74</v>
      </c>
      <c r="K742" t="s">
        <v>3146</v>
      </c>
      <c r="L742" t="s">
        <v>77</v>
      </c>
      <c r="M742" t="s">
        <v>78</v>
      </c>
      <c r="N742" t="s">
        <v>748</v>
      </c>
      <c r="O742" t="s">
        <v>3147</v>
      </c>
      <c r="P742" t="s">
        <v>3095</v>
      </c>
      <c r="X742">
        <v>5</v>
      </c>
      <c r="AF742" t="s">
        <v>333</v>
      </c>
      <c r="AG742" t="s">
        <v>296</v>
      </c>
      <c r="AH742" t="s">
        <v>333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0.75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77.25</v>
      </c>
      <c r="BE742">
        <v>0</v>
      </c>
      <c r="BF742">
        <v>200</v>
      </c>
      <c r="BG742">
        <v>0</v>
      </c>
      <c r="BH742">
        <v>0</v>
      </c>
      <c r="BI742">
        <v>40</v>
      </c>
      <c r="BJ742">
        <v>0</v>
      </c>
      <c r="BK742">
        <v>0</v>
      </c>
      <c r="BL742">
        <v>0</v>
      </c>
      <c r="BM742">
        <v>0</v>
      </c>
      <c r="BN742">
        <v>318</v>
      </c>
      <c r="BO742">
        <v>50.88</v>
      </c>
      <c r="BP742">
        <v>12.72</v>
      </c>
      <c r="BQ742">
        <f t="shared" si="11"/>
        <v>356.15999999999997</v>
      </c>
      <c r="BR742" t="s">
        <v>748</v>
      </c>
    </row>
    <row r="743" spans="1:70">
      <c r="A743" t="s">
        <v>3148</v>
      </c>
      <c r="B743" t="s">
        <v>3149</v>
      </c>
      <c r="C743" t="s">
        <v>71</v>
      </c>
      <c r="D743" t="s">
        <v>289</v>
      </c>
      <c r="E743" t="s">
        <v>73</v>
      </c>
      <c r="F743" t="s">
        <v>74</v>
      </c>
      <c r="G743">
        <v>242182</v>
      </c>
      <c r="H743" t="s">
        <v>74</v>
      </c>
      <c r="I743" t="s">
        <v>75</v>
      </c>
      <c r="J743" t="s">
        <v>74</v>
      </c>
      <c r="K743" t="s">
        <v>3150</v>
      </c>
      <c r="L743" t="s">
        <v>77</v>
      </c>
      <c r="M743" t="s">
        <v>78</v>
      </c>
      <c r="N743" t="s">
        <v>832</v>
      </c>
      <c r="O743" t="s">
        <v>1387</v>
      </c>
      <c r="P743" t="s">
        <v>3095</v>
      </c>
      <c r="X743">
        <v>7</v>
      </c>
      <c r="AF743" t="s">
        <v>345</v>
      </c>
      <c r="AG743" t="s">
        <v>296</v>
      </c>
      <c r="AH743" t="s">
        <v>345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1.05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108.15</v>
      </c>
      <c r="BE743">
        <v>0</v>
      </c>
      <c r="BF743">
        <v>280</v>
      </c>
      <c r="BG743">
        <v>0</v>
      </c>
      <c r="BH743">
        <v>0</v>
      </c>
      <c r="BI743">
        <v>56</v>
      </c>
      <c r="BJ743">
        <v>0</v>
      </c>
      <c r="BK743">
        <v>0</v>
      </c>
      <c r="BL743">
        <v>0</v>
      </c>
      <c r="BM743">
        <v>0</v>
      </c>
      <c r="BN743">
        <v>445.2</v>
      </c>
      <c r="BO743">
        <v>71.23</v>
      </c>
      <c r="BP743">
        <v>17.809999999999999</v>
      </c>
      <c r="BQ743">
        <f t="shared" si="11"/>
        <v>498.61999999999995</v>
      </c>
      <c r="BR743" t="s">
        <v>832</v>
      </c>
    </row>
    <row r="744" spans="1:70">
      <c r="A744" t="s">
        <v>3151</v>
      </c>
      <c r="B744" t="s">
        <v>3152</v>
      </c>
      <c r="C744" t="s">
        <v>71</v>
      </c>
      <c r="D744" t="s">
        <v>289</v>
      </c>
      <c r="E744" t="s">
        <v>73</v>
      </c>
      <c r="F744" t="s">
        <v>74</v>
      </c>
      <c r="G744">
        <v>242252</v>
      </c>
      <c r="H744" t="s">
        <v>74</v>
      </c>
      <c r="I744" t="s">
        <v>75</v>
      </c>
      <c r="J744" t="s">
        <v>74</v>
      </c>
      <c r="K744" t="s">
        <v>3153</v>
      </c>
      <c r="L744" t="s">
        <v>77</v>
      </c>
      <c r="M744" t="s">
        <v>78</v>
      </c>
      <c r="N744" t="s">
        <v>106</v>
      </c>
      <c r="O744" t="s">
        <v>3154</v>
      </c>
      <c r="P744" t="s">
        <v>3095</v>
      </c>
      <c r="X744">
        <v>14</v>
      </c>
      <c r="AF744" t="s">
        <v>413</v>
      </c>
      <c r="AG744" t="s">
        <v>296</v>
      </c>
      <c r="AH744" t="s">
        <v>413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2.1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646.66</v>
      </c>
      <c r="BE744">
        <v>0</v>
      </c>
      <c r="BF744">
        <v>560</v>
      </c>
      <c r="BG744">
        <v>0</v>
      </c>
      <c r="BH744">
        <v>0</v>
      </c>
      <c r="BI744">
        <v>112</v>
      </c>
      <c r="BJ744">
        <v>0</v>
      </c>
      <c r="BK744">
        <v>0</v>
      </c>
      <c r="BL744">
        <v>0</v>
      </c>
      <c r="BM744">
        <v>0</v>
      </c>
      <c r="BN744">
        <v>1320.76</v>
      </c>
      <c r="BO744">
        <v>211.33</v>
      </c>
      <c r="BP744">
        <v>52.83</v>
      </c>
      <c r="BQ744">
        <f t="shared" si="11"/>
        <v>1479.26</v>
      </c>
      <c r="BR744" t="s">
        <v>106</v>
      </c>
    </row>
    <row r="745" spans="1:70">
      <c r="A745" t="s">
        <v>3155</v>
      </c>
      <c r="B745" t="s">
        <v>3156</v>
      </c>
      <c r="C745" t="s">
        <v>71</v>
      </c>
      <c r="D745" t="s">
        <v>289</v>
      </c>
      <c r="E745" t="s">
        <v>73</v>
      </c>
      <c r="F745" t="s">
        <v>74</v>
      </c>
      <c r="G745">
        <v>242183</v>
      </c>
      <c r="H745" t="s">
        <v>74</v>
      </c>
      <c r="I745" t="s">
        <v>75</v>
      </c>
      <c r="J745" t="s">
        <v>74</v>
      </c>
      <c r="K745" t="s">
        <v>3157</v>
      </c>
      <c r="L745" t="s">
        <v>77</v>
      </c>
      <c r="M745" t="s">
        <v>78</v>
      </c>
      <c r="N745" t="s">
        <v>438</v>
      </c>
      <c r="O745" t="s">
        <v>3158</v>
      </c>
      <c r="P745" t="s">
        <v>3095</v>
      </c>
      <c r="X745">
        <v>10</v>
      </c>
      <c r="AF745" t="s">
        <v>372</v>
      </c>
      <c r="AG745" t="s">
        <v>296</v>
      </c>
      <c r="AH745" t="s">
        <v>372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1.5</v>
      </c>
      <c r="AT745">
        <v>0</v>
      </c>
      <c r="AU745">
        <v>0</v>
      </c>
      <c r="AV745">
        <v>0</v>
      </c>
      <c r="AW745">
        <v>0</v>
      </c>
      <c r="AX745">
        <v>0</v>
      </c>
      <c r="AY745">
        <v>0</v>
      </c>
      <c r="AZ745">
        <v>0</v>
      </c>
      <c r="BA745">
        <v>0</v>
      </c>
      <c r="BB745">
        <v>0</v>
      </c>
      <c r="BC745">
        <v>0</v>
      </c>
      <c r="BD745">
        <v>154.5</v>
      </c>
      <c r="BE745">
        <v>0</v>
      </c>
      <c r="BF745">
        <v>400</v>
      </c>
      <c r="BG745">
        <v>0</v>
      </c>
      <c r="BH745">
        <v>0</v>
      </c>
      <c r="BI745">
        <v>80</v>
      </c>
      <c r="BJ745">
        <v>0</v>
      </c>
      <c r="BK745">
        <v>0</v>
      </c>
      <c r="BL745">
        <v>0</v>
      </c>
      <c r="BM745">
        <v>0</v>
      </c>
      <c r="BN745">
        <v>636</v>
      </c>
      <c r="BO745">
        <v>101.76</v>
      </c>
      <c r="BP745">
        <v>25.44</v>
      </c>
      <c r="BQ745">
        <f t="shared" si="11"/>
        <v>712.31999999999994</v>
      </c>
      <c r="BR745" t="s">
        <v>440</v>
      </c>
    </row>
    <row r="746" spans="1:70">
      <c r="A746" t="s">
        <v>3159</v>
      </c>
      <c r="B746" t="s">
        <v>3160</v>
      </c>
      <c r="C746" t="s">
        <v>71</v>
      </c>
      <c r="D746" t="s">
        <v>289</v>
      </c>
      <c r="E746" t="s">
        <v>73</v>
      </c>
      <c r="F746" t="s">
        <v>74</v>
      </c>
      <c r="G746">
        <v>242254</v>
      </c>
      <c r="H746" t="s">
        <v>74</v>
      </c>
      <c r="I746" t="s">
        <v>75</v>
      </c>
      <c r="J746" t="s">
        <v>74</v>
      </c>
      <c r="K746" t="s">
        <v>3161</v>
      </c>
      <c r="L746" t="s">
        <v>77</v>
      </c>
      <c r="M746" t="s">
        <v>78</v>
      </c>
      <c r="N746" t="s">
        <v>1762</v>
      </c>
      <c r="O746" t="s">
        <v>3162</v>
      </c>
      <c r="P746" t="s">
        <v>3095</v>
      </c>
      <c r="X746">
        <v>5</v>
      </c>
      <c r="AF746" t="s">
        <v>333</v>
      </c>
      <c r="AG746" t="s">
        <v>296</v>
      </c>
      <c r="AH746" t="s">
        <v>333</v>
      </c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0.75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0</v>
      </c>
      <c r="BD746">
        <v>77.25</v>
      </c>
      <c r="BE746">
        <v>0</v>
      </c>
      <c r="BF746">
        <v>200</v>
      </c>
      <c r="BG746">
        <v>0</v>
      </c>
      <c r="BH746">
        <v>0</v>
      </c>
      <c r="BI746">
        <v>40</v>
      </c>
      <c r="BJ746">
        <v>0</v>
      </c>
      <c r="BK746">
        <v>0</v>
      </c>
      <c r="BL746">
        <v>0</v>
      </c>
      <c r="BM746">
        <v>0</v>
      </c>
      <c r="BN746">
        <v>318</v>
      </c>
      <c r="BO746">
        <v>50.88</v>
      </c>
      <c r="BP746">
        <v>12.72</v>
      </c>
      <c r="BQ746">
        <f t="shared" si="11"/>
        <v>356.15999999999997</v>
      </c>
      <c r="BR746" t="s">
        <v>1762</v>
      </c>
    </row>
    <row r="747" spans="1:70">
      <c r="A747" t="s">
        <v>3163</v>
      </c>
      <c r="B747" t="s">
        <v>3164</v>
      </c>
      <c r="C747" t="s">
        <v>71</v>
      </c>
      <c r="D747" t="s">
        <v>289</v>
      </c>
      <c r="E747" t="s">
        <v>73</v>
      </c>
      <c r="F747" t="s">
        <v>74</v>
      </c>
      <c r="G747">
        <v>242185</v>
      </c>
      <c r="H747" t="s">
        <v>74</v>
      </c>
      <c r="I747" t="s">
        <v>75</v>
      </c>
      <c r="J747" t="s">
        <v>74</v>
      </c>
      <c r="K747" t="s">
        <v>3165</v>
      </c>
      <c r="L747" t="s">
        <v>77</v>
      </c>
      <c r="M747" t="s">
        <v>78</v>
      </c>
      <c r="N747" t="s">
        <v>161</v>
      </c>
      <c r="O747" t="s">
        <v>162</v>
      </c>
      <c r="P747" t="s">
        <v>3095</v>
      </c>
      <c r="X747">
        <v>11</v>
      </c>
      <c r="AF747" t="s">
        <v>470</v>
      </c>
      <c r="AG747" t="s">
        <v>296</v>
      </c>
      <c r="AH747" t="s">
        <v>470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1.65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169.95</v>
      </c>
      <c r="BE747">
        <v>0</v>
      </c>
      <c r="BF747">
        <v>440</v>
      </c>
      <c r="BG747">
        <v>0</v>
      </c>
      <c r="BH747">
        <v>0</v>
      </c>
      <c r="BI747">
        <v>88</v>
      </c>
      <c r="BJ747">
        <v>0</v>
      </c>
      <c r="BK747">
        <v>0</v>
      </c>
      <c r="BL747">
        <v>0</v>
      </c>
      <c r="BM747">
        <v>0</v>
      </c>
      <c r="BN747">
        <v>699.6</v>
      </c>
      <c r="BO747">
        <v>111.93</v>
      </c>
      <c r="BP747">
        <v>27.99</v>
      </c>
      <c r="BQ747">
        <f t="shared" si="11"/>
        <v>783.54</v>
      </c>
      <c r="BR747" t="s">
        <v>83</v>
      </c>
    </row>
    <row r="748" spans="1:70">
      <c r="A748" t="s">
        <v>3166</v>
      </c>
      <c r="B748" t="s">
        <v>3167</v>
      </c>
      <c r="C748" t="s">
        <v>71</v>
      </c>
      <c r="D748" t="s">
        <v>289</v>
      </c>
      <c r="E748" t="s">
        <v>73</v>
      </c>
      <c r="F748" t="s">
        <v>74</v>
      </c>
      <c r="G748">
        <v>242262</v>
      </c>
      <c r="H748" t="s">
        <v>74</v>
      </c>
      <c r="I748" t="s">
        <v>75</v>
      </c>
      <c r="J748" t="s">
        <v>74</v>
      </c>
      <c r="K748" t="s">
        <v>3168</v>
      </c>
      <c r="L748" t="s">
        <v>77</v>
      </c>
      <c r="M748" t="s">
        <v>78</v>
      </c>
      <c r="N748" t="s">
        <v>1587</v>
      </c>
      <c r="O748" t="s">
        <v>1588</v>
      </c>
      <c r="P748" t="s">
        <v>3095</v>
      </c>
      <c r="X748">
        <v>30</v>
      </c>
      <c r="AF748" t="s">
        <v>593</v>
      </c>
      <c r="AG748" t="s">
        <v>296</v>
      </c>
      <c r="AH748" t="s">
        <v>593</v>
      </c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4.5</v>
      </c>
      <c r="AT748">
        <v>0</v>
      </c>
      <c r="AU748">
        <v>0</v>
      </c>
      <c r="AV748">
        <v>788.7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1385.7</v>
      </c>
      <c r="BE748">
        <v>0</v>
      </c>
      <c r="BF748">
        <v>1200</v>
      </c>
      <c r="BG748">
        <v>0</v>
      </c>
      <c r="BH748">
        <v>0</v>
      </c>
      <c r="BI748">
        <v>240</v>
      </c>
      <c r="BJ748">
        <v>0</v>
      </c>
      <c r="BK748">
        <v>0</v>
      </c>
      <c r="BL748">
        <v>0</v>
      </c>
      <c r="BM748">
        <v>0</v>
      </c>
      <c r="BN748">
        <v>3618.9</v>
      </c>
      <c r="BO748">
        <v>579.02</v>
      </c>
      <c r="BP748">
        <v>113.21</v>
      </c>
      <c r="BQ748">
        <f t="shared" si="11"/>
        <v>4084.71</v>
      </c>
      <c r="BR748" t="s">
        <v>1589</v>
      </c>
    </row>
    <row r="749" spans="1:70">
      <c r="A749" t="s">
        <v>3169</v>
      </c>
      <c r="B749" t="s">
        <v>3170</v>
      </c>
      <c r="C749" t="s">
        <v>71</v>
      </c>
      <c r="D749" t="s">
        <v>289</v>
      </c>
      <c r="E749" t="s">
        <v>73</v>
      </c>
      <c r="F749" t="s">
        <v>74</v>
      </c>
      <c r="G749">
        <v>242186</v>
      </c>
      <c r="H749" t="s">
        <v>74</v>
      </c>
      <c r="I749" t="s">
        <v>75</v>
      </c>
      <c r="J749" t="s">
        <v>74</v>
      </c>
      <c r="K749" t="s">
        <v>3171</v>
      </c>
      <c r="L749" t="s">
        <v>77</v>
      </c>
      <c r="M749" t="s">
        <v>78</v>
      </c>
      <c r="N749" t="s">
        <v>1598</v>
      </c>
      <c r="O749" t="s">
        <v>3172</v>
      </c>
      <c r="P749" t="s">
        <v>3095</v>
      </c>
      <c r="X749">
        <v>10</v>
      </c>
      <c r="AF749" t="s">
        <v>372</v>
      </c>
      <c r="AG749" t="s">
        <v>296</v>
      </c>
      <c r="AH749" t="s">
        <v>372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1.5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154.5</v>
      </c>
      <c r="BE749">
        <v>0</v>
      </c>
      <c r="BF749">
        <v>400</v>
      </c>
      <c r="BG749">
        <v>0</v>
      </c>
      <c r="BH749">
        <v>0</v>
      </c>
      <c r="BI749">
        <v>80</v>
      </c>
      <c r="BJ749">
        <v>0</v>
      </c>
      <c r="BK749">
        <v>0</v>
      </c>
      <c r="BL749">
        <v>0</v>
      </c>
      <c r="BM749">
        <v>0</v>
      </c>
      <c r="BN749">
        <v>636</v>
      </c>
      <c r="BO749">
        <v>101.76</v>
      </c>
      <c r="BP749">
        <v>25.44</v>
      </c>
      <c r="BQ749">
        <f t="shared" si="11"/>
        <v>712.31999999999994</v>
      </c>
      <c r="BR749" t="s">
        <v>406</v>
      </c>
    </row>
    <row r="750" spans="1:70">
      <c r="A750" t="s">
        <v>3173</v>
      </c>
      <c r="B750" t="s">
        <v>3174</v>
      </c>
      <c r="C750" t="s">
        <v>71</v>
      </c>
      <c r="D750" t="s">
        <v>289</v>
      </c>
      <c r="E750" t="s">
        <v>73</v>
      </c>
      <c r="F750" t="s">
        <v>74</v>
      </c>
      <c r="G750">
        <v>242187</v>
      </c>
      <c r="H750" t="s">
        <v>74</v>
      </c>
      <c r="I750" t="s">
        <v>75</v>
      </c>
      <c r="J750" t="s">
        <v>74</v>
      </c>
      <c r="K750" t="s">
        <v>3175</v>
      </c>
      <c r="L750" t="s">
        <v>77</v>
      </c>
      <c r="M750" t="s">
        <v>78</v>
      </c>
      <c r="N750" t="s">
        <v>553</v>
      </c>
      <c r="O750" t="s">
        <v>1992</v>
      </c>
      <c r="P750" t="s">
        <v>3095</v>
      </c>
      <c r="X750">
        <v>14</v>
      </c>
      <c r="AF750" t="s">
        <v>413</v>
      </c>
      <c r="AG750" t="s">
        <v>296</v>
      </c>
      <c r="AH750" t="s">
        <v>413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2.1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216.3</v>
      </c>
      <c r="BE750">
        <v>0</v>
      </c>
      <c r="BF750">
        <v>560</v>
      </c>
      <c r="BG750">
        <v>0</v>
      </c>
      <c r="BH750">
        <v>0</v>
      </c>
      <c r="BI750">
        <v>112</v>
      </c>
      <c r="BJ750">
        <v>0</v>
      </c>
      <c r="BK750">
        <v>0</v>
      </c>
      <c r="BL750">
        <v>0</v>
      </c>
      <c r="BM750">
        <v>0</v>
      </c>
      <c r="BN750">
        <v>890.4</v>
      </c>
      <c r="BO750">
        <v>142.47</v>
      </c>
      <c r="BP750">
        <v>35.61</v>
      </c>
      <c r="BQ750">
        <f t="shared" si="11"/>
        <v>997.25999999999988</v>
      </c>
      <c r="BR750" t="s">
        <v>83</v>
      </c>
    </row>
    <row r="751" spans="1:70">
      <c r="A751" t="s">
        <v>3176</v>
      </c>
      <c r="B751" t="s">
        <v>3177</v>
      </c>
      <c r="C751" t="s">
        <v>71</v>
      </c>
      <c r="D751" t="s">
        <v>289</v>
      </c>
      <c r="E751" t="s">
        <v>73</v>
      </c>
      <c r="F751" t="s">
        <v>74</v>
      </c>
      <c r="G751">
        <v>242150</v>
      </c>
      <c r="H751" t="s">
        <v>74</v>
      </c>
      <c r="I751" t="s">
        <v>75</v>
      </c>
      <c r="J751" t="s">
        <v>74</v>
      </c>
      <c r="K751" t="s">
        <v>3178</v>
      </c>
      <c r="L751" t="s">
        <v>77</v>
      </c>
      <c r="M751" t="s">
        <v>78</v>
      </c>
      <c r="N751" t="s">
        <v>161</v>
      </c>
      <c r="O751" t="s">
        <v>1825</v>
      </c>
      <c r="P751" t="s">
        <v>3095</v>
      </c>
      <c r="Z751">
        <v>2</v>
      </c>
      <c r="AF751" t="s">
        <v>339</v>
      </c>
      <c r="AG751" t="s">
        <v>296</v>
      </c>
      <c r="AH751" t="s">
        <v>339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0.3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327.7</v>
      </c>
      <c r="BE751">
        <v>0</v>
      </c>
      <c r="BF751">
        <v>80</v>
      </c>
      <c r="BG751">
        <v>0</v>
      </c>
      <c r="BH751">
        <v>0</v>
      </c>
      <c r="BI751">
        <v>16</v>
      </c>
      <c r="BJ751">
        <v>0</v>
      </c>
      <c r="BK751">
        <v>0</v>
      </c>
      <c r="BL751">
        <v>0</v>
      </c>
      <c r="BM751">
        <v>0</v>
      </c>
      <c r="BN751">
        <v>424</v>
      </c>
      <c r="BO751">
        <v>67.84</v>
      </c>
      <c r="BP751">
        <v>16.96</v>
      </c>
      <c r="BQ751">
        <f t="shared" si="11"/>
        <v>474.88000000000005</v>
      </c>
      <c r="BR751" t="s">
        <v>83</v>
      </c>
    </row>
    <row r="752" spans="1:70">
      <c r="A752" t="s">
        <v>3179</v>
      </c>
      <c r="B752" t="s">
        <v>3180</v>
      </c>
      <c r="C752" t="s">
        <v>71</v>
      </c>
      <c r="D752" t="s">
        <v>289</v>
      </c>
      <c r="E752" t="s">
        <v>73</v>
      </c>
      <c r="F752" t="s">
        <v>74</v>
      </c>
      <c r="G752">
        <v>242188</v>
      </c>
      <c r="H752" t="s">
        <v>74</v>
      </c>
      <c r="I752" t="s">
        <v>75</v>
      </c>
      <c r="J752" t="s">
        <v>74</v>
      </c>
      <c r="K752" t="s">
        <v>3181</v>
      </c>
      <c r="L752" t="s">
        <v>77</v>
      </c>
      <c r="M752" t="s">
        <v>78</v>
      </c>
      <c r="N752" t="s">
        <v>553</v>
      </c>
      <c r="O752" t="s">
        <v>1992</v>
      </c>
      <c r="P752" t="s">
        <v>3095</v>
      </c>
      <c r="X752">
        <v>12</v>
      </c>
      <c r="AF752" t="s">
        <v>379</v>
      </c>
      <c r="AG752" t="s">
        <v>296</v>
      </c>
      <c r="AH752" t="s">
        <v>379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1.8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185.4</v>
      </c>
      <c r="BE752">
        <v>0</v>
      </c>
      <c r="BF752">
        <v>480</v>
      </c>
      <c r="BG752">
        <v>0</v>
      </c>
      <c r="BH752">
        <v>0</v>
      </c>
      <c r="BI752">
        <v>96</v>
      </c>
      <c r="BJ752">
        <v>0</v>
      </c>
      <c r="BK752">
        <v>0</v>
      </c>
      <c r="BL752">
        <v>0</v>
      </c>
      <c r="BM752">
        <v>0</v>
      </c>
      <c r="BN752">
        <v>763.2</v>
      </c>
      <c r="BO752">
        <v>122.11</v>
      </c>
      <c r="BP752">
        <v>30.53</v>
      </c>
      <c r="BQ752">
        <f t="shared" si="11"/>
        <v>854.78000000000009</v>
      </c>
      <c r="BR752" t="s">
        <v>83</v>
      </c>
    </row>
    <row r="753" spans="1:70">
      <c r="A753" t="s">
        <v>3182</v>
      </c>
      <c r="B753" t="s">
        <v>3183</v>
      </c>
      <c r="C753" t="s">
        <v>71</v>
      </c>
      <c r="D753" t="s">
        <v>289</v>
      </c>
      <c r="E753" t="s">
        <v>73</v>
      </c>
      <c r="F753" t="s">
        <v>74</v>
      </c>
      <c r="G753">
        <v>242190</v>
      </c>
      <c r="H753" t="s">
        <v>74</v>
      </c>
      <c r="I753" t="s">
        <v>75</v>
      </c>
      <c r="J753" t="s">
        <v>74</v>
      </c>
      <c r="K753" t="s">
        <v>3184</v>
      </c>
      <c r="L753" t="s">
        <v>77</v>
      </c>
      <c r="M753" t="s">
        <v>78</v>
      </c>
      <c r="N753" t="s">
        <v>92</v>
      </c>
      <c r="O753" t="s">
        <v>449</v>
      </c>
      <c r="P753" t="s">
        <v>3095</v>
      </c>
      <c r="X753">
        <v>12</v>
      </c>
      <c r="AF753" t="s">
        <v>379</v>
      </c>
      <c r="AG753" t="s">
        <v>296</v>
      </c>
      <c r="AH753" t="s">
        <v>379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1.8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185.4</v>
      </c>
      <c r="BE753">
        <v>0</v>
      </c>
      <c r="BF753">
        <v>480</v>
      </c>
      <c r="BG753">
        <v>0</v>
      </c>
      <c r="BH753">
        <v>0</v>
      </c>
      <c r="BI753">
        <v>96</v>
      </c>
      <c r="BJ753">
        <v>0</v>
      </c>
      <c r="BK753">
        <v>0</v>
      </c>
      <c r="BL753">
        <v>0</v>
      </c>
      <c r="BM753">
        <v>0</v>
      </c>
      <c r="BN753">
        <v>763.2</v>
      </c>
      <c r="BO753">
        <v>122.11</v>
      </c>
      <c r="BP753">
        <v>30.53</v>
      </c>
      <c r="BQ753">
        <f t="shared" si="11"/>
        <v>854.78000000000009</v>
      </c>
      <c r="BR753" t="s">
        <v>371</v>
      </c>
    </row>
    <row r="754" spans="1:70">
      <c r="A754" t="s">
        <v>3185</v>
      </c>
      <c r="B754" t="s">
        <v>3186</v>
      </c>
      <c r="C754" t="s">
        <v>71</v>
      </c>
      <c r="D754" t="s">
        <v>289</v>
      </c>
      <c r="E754" t="s">
        <v>73</v>
      </c>
      <c r="F754" t="s">
        <v>74</v>
      </c>
      <c r="G754">
        <v>242191</v>
      </c>
      <c r="H754" t="s">
        <v>74</v>
      </c>
      <c r="I754" t="s">
        <v>75</v>
      </c>
      <c r="J754" t="s">
        <v>74</v>
      </c>
      <c r="K754" t="s">
        <v>3187</v>
      </c>
      <c r="L754" t="s">
        <v>77</v>
      </c>
      <c r="M754" t="s">
        <v>78</v>
      </c>
      <c r="N754" t="s">
        <v>191</v>
      </c>
      <c r="O754" t="s">
        <v>885</v>
      </c>
      <c r="P754" t="s">
        <v>3095</v>
      </c>
      <c r="X754">
        <v>24</v>
      </c>
      <c r="AF754" t="s">
        <v>1177</v>
      </c>
      <c r="AG754" t="s">
        <v>296</v>
      </c>
      <c r="AH754" t="s">
        <v>1177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3.6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1108.56</v>
      </c>
      <c r="BE754">
        <v>0</v>
      </c>
      <c r="BF754">
        <v>960</v>
      </c>
      <c r="BG754">
        <v>0</v>
      </c>
      <c r="BH754">
        <v>0</v>
      </c>
      <c r="BI754">
        <v>192</v>
      </c>
      <c r="BJ754">
        <v>0</v>
      </c>
      <c r="BK754">
        <v>0</v>
      </c>
      <c r="BL754">
        <v>0</v>
      </c>
      <c r="BM754">
        <v>0</v>
      </c>
      <c r="BN754">
        <v>2264.16</v>
      </c>
      <c r="BO754">
        <v>362.27</v>
      </c>
      <c r="BP754">
        <v>90.56</v>
      </c>
      <c r="BQ754">
        <f t="shared" si="11"/>
        <v>2535.87</v>
      </c>
      <c r="BR754" t="s">
        <v>195</v>
      </c>
    </row>
    <row r="755" spans="1:70">
      <c r="A755" t="s">
        <v>3188</v>
      </c>
      <c r="B755" t="s">
        <v>3189</v>
      </c>
      <c r="C755" t="s">
        <v>71</v>
      </c>
      <c r="D755" t="s">
        <v>289</v>
      </c>
      <c r="E755" t="s">
        <v>73</v>
      </c>
      <c r="F755" t="s">
        <v>74</v>
      </c>
      <c r="G755">
        <v>242192</v>
      </c>
      <c r="H755" t="s">
        <v>74</v>
      </c>
      <c r="I755" t="s">
        <v>75</v>
      </c>
      <c r="J755" t="s">
        <v>74</v>
      </c>
      <c r="K755" t="s">
        <v>3190</v>
      </c>
      <c r="L755" t="s">
        <v>77</v>
      </c>
      <c r="M755" t="s">
        <v>78</v>
      </c>
      <c r="N755" t="s">
        <v>406</v>
      </c>
      <c r="O755" t="s">
        <v>2306</v>
      </c>
      <c r="P755" t="s">
        <v>3095</v>
      </c>
      <c r="X755">
        <v>12</v>
      </c>
      <c r="AF755" t="s">
        <v>379</v>
      </c>
      <c r="AG755" t="s">
        <v>296</v>
      </c>
      <c r="AH755" t="s">
        <v>379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1.8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185.4</v>
      </c>
      <c r="BE755">
        <v>0</v>
      </c>
      <c r="BF755">
        <v>480</v>
      </c>
      <c r="BG755">
        <v>0</v>
      </c>
      <c r="BH755">
        <v>0</v>
      </c>
      <c r="BI755">
        <v>96</v>
      </c>
      <c r="BJ755">
        <v>0</v>
      </c>
      <c r="BK755">
        <v>0</v>
      </c>
      <c r="BL755">
        <v>0</v>
      </c>
      <c r="BM755">
        <v>0</v>
      </c>
      <c r="BN755">
        <v>763.2</v>
      </c>
      <c r="BO755">
        <v>122.11</v>
      </c>
      <c r="BP755">
        <v>30.53</v>
      </c>
      <c r="BQ755">
        <f t="shared" si="11"/>
        <v>854.78000000000009</v>
      </c>
      <c r="BR755" t="s">
        <v>406</v>
      </c>
    </row>
    <row r="756" spans="1:70">
      <c r="A756" t="s">
        <v>3191</v>
      </c>
      <c r="B756" t="s">
        <v>3192</v>
      </c>
      <c r="C756" t="s">
        <v>71</v>
      </c>
      <c r="D756" t="s">
        <v>289</v>
      </c>
      <c r="E756" t="s">
        <v>73</v>
      </c>
      <c r="F756" t="s">
        <v>74</v>
      </c>
      <c r="G756">
        <v>242194</v>
      </c>
      <c r="H756" t="s">
        <v>74</v>
      </c>
      <c r="I756" t="s">
        <v>75</v>
      </c>
      <c r="J756" t="s">
        <v>74</v>
      </c>
      <c r="K756" t="s">
        <v>3193</v>
      </c>
      <c r="L756" t="s">
        <v>77</v>
      </c>
      <c r="M756" t="s">
        <v>78</v>
      </c>
      <c r="N756" t="s">
        <v>343</v>
      </c>
      <c r="O756" t="s">
        <v>3194</v>
      </c>
      <c r="P756" t="s">
        <v>3095</v>
      </c>
      <c r="X756">
        <v>18</v>
      </c>
      <c r="AF756" t="s">
        <v>395</v>
      </c>
      <c r="AG756" t="s">
        <v>296</v>
      </c>
      <c r="AH756" t="s">
        <v>395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2.7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278.10000000000002</v>
      </c>
      <c r="BE756">
        <v>0</v>
      </c>
      <c r="BF756">
        <v>720</v>
      </c>
      <c r="BG756">
        <v>0</v>
      </c>
      <c r="BH756">
        <v>0</v>
      </c>
      <c r="BI756">
        <v>144</v>
      </c>
      <c r="BJ756">
        <v>0</v>
      </c>
      <c r="BK756">
        <v>0</v>
      </c>
      <c r="BL756">
        <v>0</v>
      </c>
      <c r="BM756">
        <v>0</v>
      </c>
      <c r="BN756">
        <v>1144.8</v>
      </c>
      <c r="BO756">
        <v>183.17</v>
      </c>
      <c r="BP756">
        <v>45.79</v>
      </c>
      <c r="BQ756">
        <f t="shared" si="11"/>
        <v>1282.18</v>
      </c>
      <c r="BR756" t="s">
        <v>343</v>
      </c>
    </row>
    <row r="757" spans="1:70">
      <c r="A757" t="s">
        <v>3195</v>
      </c>
      <c r="B757" t="s">
        <v>3196</v>
      </c>
      <c r="C757" t="s">
        <v>71</v>
      </c>
      <c r="D757" t="s">
        <v>289</v>
      </c>
      <c r="E757" t="s">
        <v>73</v>
      </c>
      <c r="F757" t="s">
        <v>74</v>
      </c>
      <c r="G757">
        <v>242250</v>
      </c>
      <c r="H757" t="s">
        <v>74</v>
      </c>
      <c r="I757" t="s">
        <v>75</v>
      </c>
      <c r="J757" t="s">
        <v>74</v>
      </c>
      <c r="K757" t="s">
        <v>3197</v>
      </c>
      <c r="L757" t="s">
        <v>77</v>
      </c>
      <c r="M757" t="s">
        <v>78</v>
      </c>
      <c r="N757" t="s">
        <v>330</v>
      </c>
      <c r="O757" t="s">
        <v>331</v>
      </c>
      <c r="P757" t="s">
        <v>3198</v>
      </c>
      <c r="X757">
        <v>5</v>
      </c>
      <c r="AF757" t="s">
        <v>333</v>
      </c>
      <c r="AG757" t="s">
        <v>296</v>
      </c>
      <c r="AH757" t="s">
        <v>333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0.75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230.95</v>
      </c>
      <c r="BE757">
        <v>0</v>
      </c>
      <c r="BF757">
        <v>200</v>
      </c>
      <c r="BG757">
        <v>0</v>
      </c>
      <c r="BH757">
        <v>0</v>
      </c>
      <c r="BI757">
        <v>40</v>
      </c>
      <c r="BJ757">
        <v>0</v>
      </c>
      <c r="BK757">
        <v>0</v>
      </c>
      <c r="BL757">
        <v>0</v>
      </c>
      <c r="BM757">
        <v>0</v>
      </c>
      <c r="BN757">
        <v>471.7</v>
      </c>
      <c r="BO757">
        <v>75.47</v>
      </c>
      <c r="BP757">
        <v>18.87</v>
      </c>
      <c r="BQ757">
        <f t="shared" si="11"/>
        <v>528.29999999999995</v>
      </c>
      <c r="BR757" t="s">
        <v>332</v>
      </c>
    </row>
    <row r="758" spans="1:70">
      <c r="A758" t="s">
        <v>3199</v>
      </c>
      <c r="B758" t="s">
        <v>3200</v>
      </c>
      <c r="C758" t="s">
        <v>71</v>
      </c>
      <c r="D758" t="s">
        <v>289</v>
      </c>
      <c r="E758" t="s">
        <v>73</v>
      </c>
      <c r="F758" t="s">
        <v>74</v>
      </c>
      <c r="G758">
        <v>242195</v>
      </c>
      <c r="H758" t="s">
        <v>74</v>
      </c>
      <c r="I758" t="s">
        <v>75</v>
      </c>
      <c r="J758" t="s">
        <v>74</v>
      </c>
      <c r="K758" t="s">
        <v>3201</v>
      </c>
      <c r="L758" t="s">
        <v>77</v>
      </c>
      <c r="M758" t="s">
        <v>78</v>
      </c>
      <c r="N758" t="s">
        <v>1101</v>
      </c>
      <c r="O758" t="s">
        <v>1361</v>
      </c>
      <c r="P758" t="s">
        <v>3198</v>
      </c>
      <c r="X758">
        <v>9</v>
      </c>
      <c r="AF758" t="s">
        <v>407</v>
      </c>
      <c r="AG758" t="s">
        <v>296</v>
      </c>
      <c r="AH758" t="s">
        <v>407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1.35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415.71</v>
      </c>
      <c r="BE758">
        <v>0</v>
      </c>
      <c r="BF758">
        <v>360</v>
      </c>
      <c r="BG758">
        <v>0</v>
      </c>
      <c r="BH758">
        <v>0</v>
      </c>
      <c r="BI758">
        <v>72</v>
      </c>
      <c r="BJ758">
        <v>0</v>
      </c>
      <c r="BK758">
        <v>0</v>
      </c>
      <c r="BL758">
        <v>0</v>
      </c>
      <c r="BM758">
        <v>0</v>
      </c>
      <c r="BN758">
        <v>849.06</v>
      </c>
      <c r="BO758">
        <v>135.85</v>
      </c>
      <c r="BP758">
        <v>33.96</v>
      </c>
      <c r="BQ758">
        <f t="shared" si="11"/>
        <v>950.94999999999993</v>
      </c>
      <c r="BR758" t="s">
        <v>1101</v>
      </c>
    </row>
    <row r="759" spans="1:70">
      <c r="A759" t="s">
        <v>3202</v>
      </c>
      <c r="B759" t="s">
        <v>3203</v>
      </c>
      <c r="C759" t="s">
        <v>71</v>
      </c>
      <c r="D759" t="s">
        <v>289</v>
      </c>
      <c r="E759" t="s">
        <v>73</v>
      </c>
      <c r="F759" t="s">
        <v>74</v>
      </c>
      <c r="G759">
        <v>242392</v>
      </c>
      <c r="H759" t="s">
        <v>74</v>
      </c>
      <c r="I759" t="s">
        <v>75</v>
      </c>
      <c r="J759" t="s">
        <v>74</v>
      </c>
      <c r="K759" t="s">
        <v>3204</v>
      </c>
      <c r="L759" t="s">
        <v>77</v>
      </c>
      <c r="M759" t="s">
        <v>78</v>
      </c>
      <c r="N759" t="s">
        <v>129</v>
      </c>
      <c r="O759" t="s">
        <v>3205</v>
      </c>
      <c r="P759" t="s">
        <v>3198</v>
      </c>
      <c r="V759">
        <v>1</v>
      </c>
      <c r="AF759" t="s">
        <v>295</v>
      </c>
      <c r="AG759" t="s">
        <v>296</v>
      </c>
      <c r="AH759" t="s">
        <v>295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0.15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375.85</v>
      </c>
      <c r="BE759">
        <v>0</v>
      </c>
      <c r="BF759">
        <v>40</v>
      </c>
      <c r="BG759">
        <v>0</v>
      </c>
      <c r="BH759">
        <v>0</v>
      </c>
      <c r="BI759">
        <v>8</v>
      </c>
      <c r="BJ759">
        <v>0</v>
      </c>
      <c r="BK759">
        <v>0</v>
      </c>
      <c r="BL759">
        <v>0</v>
      </c>
      <c r="BM759">
        <v>0</v>
      </c>
      <c r="BN759">
        <v>424</v>
      </c>
      <c r="BO759">
        <v>67.84</v>
      </c>
      <c r="BP759">
        <v>16.96</v>
      </c>
      <c r="BQ759">
        <f t="shared" si="11"/>
        <v>474.88000000000005</v>
      </c>
      <c r="BR759" t="s">
        <v>129</v>
      </c>
    </row>
    <row r="760" spans="1:70">
      <c r="A760" t="s">
        <v>3206</v>
      </c>
      <c r="B760" t="s">
        <v>3207</v>
      </c>
      <c r="C760" t="s">
        <v>71</v>
      </c>
      <c r="D760" t="s">
        <v>289</v>
      </c>
      <c r="E760" t="s">
        <v>73</v>
      </c>
      <c r="F760" t="s">
        <v>74</v>
      </c>
      <c r="G760">
        <v>242332</v>
      </c>
      <c r="H760" t="s">
        <v>74</v>
      </c>
      <c r="I760" t="s">
        <v>75</v>
      </c>
      <c r="J760" t="s">
        <v>74</v>
      </c>
      <c r="K760" t="s">
        <v>3208</v>
      </c>
      <c r="L760" t="s">
        <v>77</v>
      </c>
      <c r="M760" t="s">
        <v>78</v>
      </c>
      <c r="N760" t="s">
        <v>1337</v>
      </c>
      <c r="O760" t="s">
        <v>1338</v>
      </c>
      <c r="P760" t="s">
        <v>3198</v>
      </c>
      <c r="AB760">
        <v>3</v>
      </c>
      <c r="AF760" t="s">
        <v>314</v>
      </c>
      <c r="AG760" t="s">
        <v>296</v>
      </c>
      <c r="AH760" t="s">
        <v>314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0.45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327.24</v>
      </c>
      <c r="BE760">
        <v>0</v>
      </c>
      <c r="BF760">
        <v>120</v>
      </c>
      <c r="BG760">
        <v>0</v>
      </c>
      <c r="BH760">
        <v>0</v>
      </c>
      <c r="BI760">
        <v>24</v>
      </c>
      <c r="BJ760">
        <v>0</v>
      </c>
      <c r="BK760">
        <v>0</v>
      </c>
      <c r="BL760">
        <v>0</v>
      </c>
      <c r="BM760">
        <v>0</v>
      </c>
      <c r="BN760">
        <v>471.69</v>
      </c>
      <c r="BO760">
        <v>75.47</v>
      </c>
      <c r="BP760">
        <v>18.87</v>
      </c>
      <c r="BQ760">
        <f t="shared" si="11"/>
        <v>528.29</v>
      </c>
      <c r="BR760" t="s">
        <v>1339</v>
      </c>
    </row>
    <row r="761" spans="1:70">
      <c r="A761" t="s">
        <v>3209</v>
      </c>
      <c r="B761" t="s">
        <v>3210</v>
      </c>
      <c r="C761" t="s">
        <v>71</v>
      </c>
      <c r="D761" t="s">
        <v>289</v>
      </c>
      <c r="E761" t="s">
        <v>73</v>
      </c>
      <c r="F761" t="s">
        <v>74</v>
      </c>
      <c r="G761">
        <v>242330</v>
      </c>
      <c r="H761" t="s">
        <v>74</v>
      </c>
      <c r="I761" t="s">
        <v>75</v>
      </c>
      <c r="J761" t="s">
        <v>74</v>
      </c>
      <c r="K761" t="s">
        <v>3211</v>
      </c>
      <c r="L761" t="s">
        <v>77</v>
      </c>
      <c r="M761" t="s">
        <v>78</v>
      </c>
      <c r="N761" t="s">
        <v>406</v>
      </c>
      <c r="O761" t="s">
        <v>3212</v>
      </c>
      <c r="P761" t="s">
        <v>3198</v>
      </c>
      <c r="X761">
        <v>13</v>
      </c>
      <c r="AF761" t="s">
        <v>434</v>
      </c>
      <c r="AG761" t="s">
        <v>296</v>
      </c>
      <c r="AH761" t="s">
        <v>434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1.95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>
        <v>0</v>
      </c>
      <c r="BD761">
        <v>200.85</v>
      </c>
      <c r="BE761">
        <v>0</v>
      </c>
      <c r="BF761">
        <v>520</v>
      </c>
      <c r="BG761">
        <v>0</v>
      </c>
      <c r="BH761">
        <v>0</v>
      </c>
      <c r="BI761">
        <v>104</v>
      </c>
      <c r="BJ761">
        <v>0</v>
      </c>
      <c r="BK761">
        <v>0</v>
      </c>
      <c r="BL761">
        <v>0</v>
      </c>
      <c r="BM761">
        <v>0</v>
      </c>
      <c r="BN761">
        <v>826.8</v>
      </c>
      <c r="BO761">
        <v>132.29</v>
      </c>
      <c r="BP761">
        <v>33.07</v>
      </c>
      <c r="BQ761">
        <f t="shared" si="11"/>
        <v>926.01999999999987</v>
      </c>
      <c r="BR761" t="s">
        <v>406</v>
      </c>
    </row>
    <row r="762" spans="1:70">
      <c r="A762" t="s">
        <v>3213</v>
      </c>
      <c r="B762" t="s">
        <v>3214</v>
      </c>
      <c r="C762" t="s">
        <v>71</v>
      </c>
      <c r="D762" t="s">
        <v>289</v>
      </c>
      <c r="E762" t="s">
        <v>73</v>
      </c>
      <c r="F762" t="s">
        <v>74</v>
      </c>
      <c r="G762">
        <v>242328</v>
      </c>
      <c r="H762" t="s">
        <v>74</v>
      </c>
      <c r="I762" t="s">
        <v>75</v>
      </c>
      <c r="J762" t="s">
        <v>74</v>
      </c>
      <c r="K762" t="s">
        <v>3215</v>
      </c>
      <c r="L762" t="s">
        <v>77</v>
      </c>
      <c r="M762" t="s">
        <v>78</v>
      </c>
      <c r="N762" t="s">
        <v>137</v>
      </c>
      <c r="O762" t="s">
        <v>1391</v>
      </c>
      <c r="P762" t="s">
        <v>3198</v>
      </c>
      <c r="X762">
        <v>20</v>
      </c>
      <c r="AF762" t="s">
        <v>384</v>
      </c>
      <c r="AG762" t="s">
        <v>296</v>
      </c>
      <c r="AH762" t="s">
        <v>384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3</v>
      </c>
      <c r="AT762">
        <v>0</v>
      </c>
      <c r="AU762">
        <v>0</v>
      </c>
      <c r="AV762">
        <v>0</v>
      </c>
      <c r="AW762">
        <v>0</v>
      </c>
      <c r="AX762">
        <v>0</v>
      </c>
      <c r="AY762">
        <v>0</v>
      </c>
      <c r="AZ762">
        <v>0</v>
      </c>
      <c r="BA762">
        <v>0</v>
      </c>
      <c r="BB762">
        <v>0</v>
      </c>
      <c r="BC762">
        <v>0</v>
      </c>
      <c r="BD762">
        <v>923.8</v>
      </c>
      <c r="BE762">
        <v>0</v>
      </c>
      <c r="BF762">
        <v>800</v>
      </c>
      <c r="BG762">
        <v>0</v>
      </c>
      <c r="BH762">
        <v>0</v>
      </c>
      <c r="BI762">
        <v>160</v>
      </c>
      <c r="BJ762">
        <v>0</v>
      </c>
      <c r="BK762">
        <v>0</v>
      </c>
      <c r="BL762">
        <v>0</v>
      </c>
      <c r="BM762">
        <v>0</v>
      </c>
      <c r="BN762">
        <v>1886.8</v>
      </c>
      <c r="BO762">
        <v>301.89</v>
      </c>
      <c r="BP762">
        <v>75.47</v>
      </c>
      <c r="BQ762">
        <f t="shared" si="11"/>
        <v>2113.2200000000003</v>
      </c>
      <c r="BR762" t="s">
        <v>141</v>
      </c>
    </row>
    <row r="763" spans="1:70">
      <c r="A763" t="s">
        <v>3216</v>
      </c>
      <c r="B763" t="s">
        <v>3217</v>
      </c>
      <c r="C763" t="s">
        <v>71</v>
      </c>
      <c r="D763" t="s">
        <v>289</v>
      </c>
      <c r="E763" t="s">
        <v>73</v>
      </c>
      <c r="F763" t="s">
        <v>74</v>
      </c>
      <c r="G763">
        <v>242313</v>
      </c>
      <c r="H763" t="s">
        <v>74</v>
      </c>
      <c r="I763" t="s">
        <v>75</v>
      </c>
      <c r="J763" t="s">
        <v>74</v>
      </c>
      <c r="K763" t="s">
        <v>3218</v>
      </c>
      <c r="L763" t="s">
        <v>77</v>
      </c>
      <c r="M763" t="s">
        <v>78</v>
      </c>
      <c r="N763" t="s">
        <v>137</v>
      </c>
      <c r="O763" t="s">
        <v>182</v>
      </c>
      <c r="P763" t="s">
        <v>3198</v>
      </c>
      <c r="X763">
        <v>12</v>
      </c>
      <c r="AF763" t="s">
        <v>379</v>
      </c>
      <c r="AG763" t="s">
        <v>296</v>
      </c>
      <c r="AH763" t="s">
        <v>379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1.8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0</v>
      </c>
      <c r="BB763">
        <v>0</v>
      </c>
      <c r="BC763">
        <v>0</v>
      </c>
      <c r="BD763">
        <v>554.28</v>
      </c>
      <c r="BE763">
        <v>0</v>
      </c>
      <c r="BF763">
        <v>480</v>
      </c>
      <c r="BG763">
        <v>0</v>
      </c>
      <c r="BH763">
        <v>0</v>
      </c>
      <c r="BI763">
        <v>96</v>
      </c>
      <c r="BJ763">
        <v>0</v>
      </c>
      <c r="BK763">
        <v>0</v>
      </c>
      <c r="BL763">
        <v>0</v>
      </c>
      <c r="BM763">
        <v>0</v>
      </c>
      <c r="BN763">
        <v>1132.08</v>
      </c>
      <c r="BO763">
        <v>181.13</v>
      </c>
      <c r="BP763">
        <v>45.28</v>
      </c>
      <c r="BQ763">
        <f t="shared" si="11"/>
        <v>1267.93</v>
      </c>
      <c r="BR763" t="s">
        <v>141</v>
      </c>
    </row>
    <row r="764" spans="1:70">
      <c r="A764" t="s">
        <v>3219</v>
      </c>
      <c r="B764" t="s">
        <v>3220</v>
      </c>
      <c r="C764" t="s">
        <v>71</v>
      </c>
      <c r="D764" t="s">
        <v>289</v>
      </c>
      <c r="E764" t="s">
        <v>73</v>
      </c>
      <c r="F764" t="s">
        <v>74</v>
      </c>
      <c r="G764">
        <v>242314</v>
      </c>
      <c r="H764" t="s">
        <v>74</v>
      </c>
      <c r="I764" t="s">
        <v>75</v>
      </c>
      <c r="J764" t="s">
        <v>74</v>
      </c>
      <c r="K764" t="s">
        <v>3221</v>
      </c>
      <c r="L764" t="s">
        <v>77</v>
      </c>
      <c r="M764" t="s">
        <v>78</v>
      </c>
      <c r="N764" t="s">
        <v>880</v>
      </c>
      <c r="O764" t="s">
        <v>3222</v>
      </c>
      <c r="P764" t="s">
        <v>3198</v>
      </c>
      <c r="X764">
        <v>6</v>
      </c>
      <c r="AF764" t="s">
        <v>400</v>
      </c>
      <c r="AG764" t="s">
        <v>296</v>
      </c>
      <c r="AH764" t="s">
        <v>400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0.9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0</v>
      </c>
      <c r="AZ764">
        <v>0</v>
      </c>
      <c r="BA764">
        <v>0</v>
      </c>
      <c r="BB764">
        <v>0</v>
      </c>
      <c r="BC764">
        <v>0</v>
      </c>
      <c r="BD764">
        <v>277.14</v>
      </c>
      <c r="BE764">
        <v>0</v>
      </c>
      <c r="BF764">
        <v>240</v>
      </c>
      <c r="BG764">
        <v>0</v>
      </c>
      <c r="BH764">
        <v>0</v>
      </c>
      <c r="BI764">
        <v>48</v>
      </c>
      <c r="BJ764">
        <v>0</v>
      </c>
      <c r="BK764">
        <v>0</v>
      </c>
      <c r="BL764">
        <v>0</v>
      </c>
      <c r="BM764">
        <v>0</v>
      </c>
      <c r="BN764">
        <v>566.04</v>
      </c>
      <c r="BO764">
        <v>90.56</v>
      </c>
      <c r="BP764">
        <v>22.65</v>
      </c>
      <c r="BQ764">
        <f t="shared" si="11"/>
        <v>633.94999999999993</v>
      </c>
      <c r="BR764" t="s">
        <v>880</v>
      </c>
    </row>
    <row r="765" spans="1:70">
      <c r="A765" t="s">
        <v>3223</v>
      </c>
      <c r="B765" t="s">
        <v>3224</v>
      </c>
      <c r="C765" t="s">
        <v>71</v>
      </c>
      <c r="D765" t="s">
        <v>289</v>
      </c>
      <c r="E765" t="s">
        <v>73</v>
      </c>
      <c r="F765" t="s">
        <v>74</v>
      </c>
      <c r="G765">
        <v>242315</v>
      </c>
      <c r="H765" t="s">
        <v>74</v>
      </c>
      <c r="I765" t="s">
        <v>75</v>
      </c>
      <c r="J765" t="s">
        <v>74</v>
      </c>
      <c r="K765" t="s">
        <v>3225</v>
      </c>
      <c r="L765" t="s">
        <v>77</v>
      </c>
      <c r="M765" t="s">
        <v>78</v>
      </c>
      <c r="N765" t="s">
        <v>1872</v>
      </c>
      <c r="O765" t="s">
        <v>1873</v>
      </c>
      <c r="P765" t="s">
        <v>3198</v>
      </c>
      <c r="X765">
        <v>5</v>
      </c>
      <c r="AF765" t="s">
        <v>333</v>
      </c>
      <c r="AG765" t="s">
        <v>296</v>
      </c>
      <c r="AH765" t="s">
        <v>333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0.75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0</v>
      </c>
      <c r="BB765">
        <v>0</v>
      </c>
      <c r="BC765">
        <v>0</v>
      </c>
      <c r="BD765">
        <v>230.95</v>
      </c>
      <c r="BE765">
        <v>0</v>
      </c>
      <c r="BF765">
        <v>200</v>
      </c>
      <c r="BG765">
        <v>0</v>
      </c>
      <c r="BH765">
        <v>0</v>
      </c>
      <c r="BI765">
        <v>40</v>
      </c>
      <c r="BJ765">
        <v>0</v>
      </c>
      <c r="BK765">
        <v>0</v>
      </c>
      <c r="BL765">
        <v>0</v>
      </c>
      <c r="BM765">
        <v>0</v>
      </c>
      <c r="BN765">
        <v>471.7</v>
      </c>
      <c r="BO765">
        <v>75.47</v>
      </c>
      <c r="BP765">
        <v>18.87</v>
      </c>
      <c r="BQ765">
        <f t="shared" si="11"/>
        <v>528.29999999999995</v>
      </c>
      <c r="BR765" t="s">
        <v>332</v>
      </c>
    </row>
    <row r="766" spans="1:70">
      <c r="A766" t="s">
        <v>3226</v>
      </c>
      <c r="B766" t="s">
        <v>3227</v>
      </c>
      <c r="C766" t="s">
        <v>71</v>
      </c>
      <c r="D766" t="s">
        <v>289</v>
      </c>
      <c r="E766" t="s">
        <v>73</v>
      </c>
      <c r="F766" t="s">
        <v>74</v>
      </c>
      <c r="G766">
        <v>242316</v>
      </c>
      <c r="H766" t="s">
        <v>74</v>
      </c>
      <c r="I766" t="s">
        <v>75</v>
      </c>
      <c r="J766" t="s">
        <v>74</v>
      </c>
      <c r="K766" t="s">
        <v>3228</v>
      </c>
      <c r="L766" t="s">
        <v>77</v>
      </c>
      <c r="M766" t="s">
        <v>78</v>
      </c>
      <c r="N766" t="s">
        <v>432</v>
      </c>
      <c r="O766" t="s">
        <v>433</v>
      </c>
      <c r="P766" t="s">
        <v>3198</v>
      </c>
      <c r="X766">
        <v>12</v>
      </c>
      <c r="AF766" t="s">
        <v>379</v>
      </c>
      <c r="AG766" t="s">
        <v>296</v>
      </c>
      <c r="AH766" t="s">
        <v>379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1.8</v>
      </c>
      <c r="AT766">
        <v>0</v>
      </c>
      <c r="AU766">
        <v>0</v>
      </c>
      <c r="AV766">
        <v>0</v>
      </c>
      <c r="AW766">
        <v>0</v>
      </c>
      <c r="AX766">
        <v>0</v>
      </c>
      <c r="AY766">
        <v>0</v>
      </c>
      <c r="AZ766">
        <v>0</v>
      </c>
      <c r="BA766">
        <v>0</v>
      </c>
      <c r="BB766">
        <v>0</v>
      </c>
      <c r="BC766">
        <v>0</v>
      </c>
      <c r="BD766">
        <v>554.28</v>
      </c>
      <c r="BE766">
        <v>0</v>
      </c>
      <c r="BF766">
        <v>480</v>
      </c>
      <c r="BG766">
        <v>0</v>
      </c>
      <c r="BH766">
        <v>0</v>
      </c>
      <c r="BI766">
        <v>96</v>
      </c>
      <c r="BJ766">
        <v>0</v>
      </c>
      <c r="BK766">
        <v>0</v>
      </c>
      <c r="BL766">
        <v>0</v>
      </c>
      <c r="BM766">
        <v>0</v>
      </c>
      <c r="BN766">
        <v>1132.08</v>
      </c>
      <c r="BO766">
        <v>181.13</v>
      </c>
      <c r="BP766">
        <v>45.28</v>
      </c>
      <c r="BQ766">
        <f t="shared" si="11"/>
        <v>1267.93</v>
      </c>
      <c r="BR766" t="s">
        <v>432</v>
      </c>
    </row>
    <row r="767" spans="1:70">
      <c r="A767" t="s">
        <v>3229</v>
      </c>
      <c r="B767" t="s">
        <v>3230</v>
      </c>
      <c r="C767" t="s">
        <v>71</v>
      </c>
      <c r="D767" t="s">
        <v>289</v>
      </c>
      <c r="E767" t="s">
        <v>73</v>
      </c>
      <c r="F767" t="s">
        <v>74</v>
      </c>
      <c r="G767">
        <v>242319</v>
      </c>
      <c r="H767" t="s">
        <v>74</v>
      </c>
      <c r="I767" t="s">
        <v>75</v>
      </c>
      <c r="J767" t="s">
        <v>74</v>
      </c>
      <c r="K767" t="s">
        <v>3231</v>
      </c>
      <c r="L767" t="s">
        <v>77</v>
      </c>
      <c r="M767" t="s">
        <v>78</v>
      </c>
      <c r="N767" t="s">
        <v>461</v>
      </c>
      <c r="O767" t="s">
        <v>3232</v>
      </c>
      <c r="P767" t="s">
        <v>3198</v>
      </c>
      <c r="X767">
        <v>26</v>
      </c>
      <c r="AF767" t="s">
        <v>920</v>
      </c>
      <c r="AG767" t="s">
        <v>296</v>
      </c>
      <c r="AH767" t="s">
        <v>920</v>
      </c>
      <c r="AJ767">
        <v>0</v>
      </c>
      <c r="AK767">
        <v>0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3.9</v>
      </c>
      <c r="AT767">
        <v>0</v>
      </c>
      <c r="AU767">
        <v>0</v>
      </c>
      <c r="AV767">
        <v>0</v>
      </c>
      <c r="AW767">
        <v>0</v>
      </c>
      <c r="AX767">
        <v>0</v>
      </c>
      <c r="AY767">
        <v>0</v>
      </c>
      <c r="AZ767">
        <v>0</v>
      </c>
      <c r="BA767">
        <v>0</v>
      </c>
      <c r="BB767">
        <v>0</v>
      </c>
      <c r="BC767">
        <v>0</v>
      </c>
      <c r="BD767">
        <v>401.7</v>
      </c>
      <c r="BE767">
        <v>0</v>
      </c>
      <c r="BF767">
        <v>1040</v>
      </c>
      <c r="BG767">
        <v>0</v>
      </c>
      <c r="BH767">
        <v>0</v>
      </c>
      <c r="BI767">
        <v>208</v>
      </c>
      <c r="BJ767">
        <v>0</v>
      </c>
      <c r="BK767">
        <v>0</v>
      </c>
      <c r="BL767">
        <v>0</v>
      </c>
      <c r="BM767">
        <v>0</v>
      </c>
      <c r="BN767">
        <v>1653.6</v>
      </c>
      <c r="BO767">
        <v>264.57</v>
      </c>
      <c r="BP767">
        <v>66.150000000000006</v>
      </c>
      <c r="BQ767">
        <f t="shared" si="11"/>
        <v>1852.0199999999998</v>
      </c>
      <c r="BR767" t="s">
        <v>83</v>
      </c>
    </row>
    <row r="768" spans="1:70">
      <c r="A768" t="s">
        <v>3233</v>
      </c>
      <c r="B768" t="s">
        <v>3234</v>
      </c>
      <c r="C768" t="s">
        <v>71</v>
      </c>
      <c r="D768" t="s">
        <v>289</v>
      </c>
      <c r="E768" t="s">
        <v>73</v>
      </c>
      <c r="F768" t="s">
        <v>74</v>
      </c>
      <c r="G768">
        <v>242236</v>
      </c>
      <c r="H768" t="s">
        <v>74</v>
      </c>
      <c r="I768" t="s">
        <v>75</v>
      </c>
      <c r="J768" t="s">
        <v>74</v>
      </c>
      <c r="K768" t="s">
        <v>3235</v>
      </c>
      <c r="L768" t="s">
        <v>77</v>
      </c>
      <c r="M768" t="s">
        <v>78</v>
      </c>
      <c r="N768" t="s">
        <v>421</v>
      </c>
      <c r="O768" t="s">
        <v>3236</v>
      </c>
      <c r="P768" t="s">
        <v>3198</v>
      </c>
      <c r="X768">
        <v>18</v>
      </c>
      <c r="AF768" t="s">
        <v>395</v>
      </c>
      <c r="AG768" t="s">
        <v>296</v>
      </c>
      <c r="AH768" t="s">
        <v>395</v>
      </c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2.7</v>
      </c>
      <c r="AT768">
        <v>0</v>
      </c>
      <c r="AU768">
        <v>0</v>
      </c>
      <c r="AV768">
        <v>0</v>
      </c>
      <c r="AW768">
        <v>0</v>
      </c>
      <c r="AX768">
        <v>0</v>
      </c>
      <c r="AY768">
        <v>0</v>
      </c>
      <c r="AZ768">
        <v>0</v>
      </c>
      <c r="BA768">
        <v>0</v>
      </c>
      <c r="BB768">
        <v>0</v>
      </c>
      <c r="BC768">
        <v>0</v>
      </c>
      <c r="BD768">
        <v>831.42</v>
      </c>
      <c r="BE768">
        <v>0</v>
      </c>
      <c r="BF768">
        <v>720</v>
      </c>
      <c r="BG768">
        <v>0</v>
      </c>
      <c r="BH768">
        <v>0</v>
      </c>
      <c r="BI768">
        <v>144</v>
      </c>
      <c r="BJ768">
        <v>0</v>
      </c>
      <c r="BK768">
        <v>0</v>
      </c>
      <c r="BL768">
        <v>0</v>
      </c>
      <c r="BM768">
        <v>0</v>
      </c>
      <c r="BN768">
        <v>1698.12</v>
      </c>
      <c r="BO768">
        <v>271.7</v>
      </c>
      <c r="BP768">
        <v>67.930000000000007</v>
      </c>
      <c r="BQ768">
        <f t="shared" si="11"/>
        <v>1901.8899999999999</v>
      </c>
      <c r="BR768" t="s">
        <v>423</v>
      </c>
    </row>
    <row r="769" spans="1:70">
      <c r="A769" t="s">
        <v>3237</v>
      </c>
      <c r="B769" t="s">
        <v>3238</v>
      </c>
      <c r="C769" t="s">
        <v>71</v>
      </c>
      <c r="D769" t="s">
        <v>289</v>
      </c>
      <c r="E769" t="s">
        <v>73</v>
      </c>
      <c r="F769" t="s">
        <v>74</v>
      </c>
      <c r="G769">
        <v>242321</v>
      </c>
      <c r="H769" t="s">
        <v>74</v>
      </c>
      <c r="I769" t="s">
        <v>75</v>
      </c>
      <c r="J769" t="s">
        <v>74</v>
      </c>
      <c r="K769" t="s">
        <v>3239</v>
      </c>
      <c r="L769" t="s">
        <v>77</v>
      </c>
      <c r="M769" t="s">
        <v>78</v>
      </c>
      <c r="N769" t="s">
        <v>924</v>
      </c>
      <c r="O769" t="s">
        <v>3240</v>
      </c>
      <c r="P769" t="s">
        <v>3198</v>
      </c>
      <c r="X769">
        <v>19</v>
      </c>
      <c r="AF769" t="s">
        <v>569</v>
      </c>
      <c r="AG769" t="s">
        <v>296</v>
      </c>
      <c r="AH769" t="s">
        <v>569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2.85</v>
      </c>
      <c r="AT769">
        <v>0</v>
      </c>
      <c r="AU769">
        <v>0</v>
      </c>
      <c r="AV769">
        <v>0</v>
      </c>
      <c r="AW769">
        <v>0</v>
      </c>
      <c r="AX769">
        <v>0</v>
      </c>
      <c r="AY769">
        <v>0</v>
      </c>
      <c r="AZ769">
        <v>0</v>
      </c>
      <c r="BA769">
        <v>0</v>
      </c>
      <c r="BB769">
        <v>0</v>
      </c>
      <c r="BC769">
        <v>0</v>
      </c>
      <c r="BD769">
        <v>293.55</v>
      </c>
      <c r="BE769">
        <v>0</v>
      </c>
      <c r="BF769">
        <v>760</v>
      </c>
      <c r="BG769">
        <v>0</v>
      </c>
      <c r="BH769">
        <v>0</v>
      </c>
      <c r="BI769">
        <v>152</v>
      </c>
      <c r="BJ769">
        <v>0</v>
      </c>
      <c r="BK769">
        <v>0</v>
      </c>
      <c r="BL769">
        <v>0</v>
      </c>
      <c r="BM769">
        <v>0</v>
      </c>
      <c r="BN769">
        <v>1208.4000000000001</v>
      </c>
      <c r="BO769">
        <v>193.35</v>
      </c>
      <c r="BP769">
        <v>48.33</v>
      </c>
      <c r="BQ769">
        <f t="shared" si="11"/>
        <v>1353.42</v>
      </c>
      <c r="BR769" t="s">
        <v>757</v>
      </c>
    </row>
    <row r="770" spans="1:70">
      <c r="A770" t="s">
        <v>3241</v>
      </c>
      <c r="B770" t="s">
        <v>3242</v>
      </c>
      <c r="C770" t="s">
        <v>71</v>
      </c>
      <c r="D770" t="s">
        <v>289</v>
      </c>
      <c r="E770" t="s">
        <v>73</v>
      </c>
      <c r="F770" t="s">
        <v>74</v>
      </c>
      <c r="G770">
        <v>242260</v>
      </c>
      <c r="H770" t="s">
        <v>74</v>
      </c>
      <c r="I770" t="s">
        <v>75</v>
      </c>
      <c r="J770" t="s">
        <v>74</v>
      </c>
      <c r="K770" t="s">
        <v>3243</v>
      </c>
      <c r="L770" t="s">
        <v>77</v>
      </c>
      <c r="M770" t="s">
        <v>78</v>
      </c>
      <c r="N770" t="s">
        <v>501</v>
      </c>
      <c r="O770" t="s">
        <v>3244</v>
      </c>
      <c r="P770" t="s">
        <v>3198</v>
      </c>
      <c r="X770">
        <v>8</v>
      </c>
      <c r="AF770" t="s">
        <v>1006</v>
      </c>
      <c r="AG770" t="s">
        <v>296</v>
      </c>
      <c r="AH770" t="s">
        <v>1006</v>
      </c>
      <c r="AJ770">
        <v>0</v>
      </c>
      <c r="AK770">
        <v>0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1.2</v>
      </c>
      <c r="AT770">
        <v>0</v>
      </c>
      <c r="AU770">
        <v>0</v>
      </c>
      <c r="AV770">
        <v>0</v>
      </c>
      <c r="AW770">
        <v>0</v>
      </c>
      <c r="AX770">
        <v>0</v>
      </c>
      <c r="AY770">
        <v>0</v>
      </c>
      <c r="AZ770">
        <v>0</v>
      </c>
      <c r="BA770">
        <v>0</v>
      </c>
      <c r="BB770">
        <v>0</v>
      </c>
      <c r="BC770">
        <v>0</v>
      </c>
      <c r="BD770">
        <v>369.52</v>
      </c>
      <c r="BE770">
        <v>0</v>
      </c>
      <c r="BF770">
        <v>320</v>
      </c>
      <c r="BG770">
        <v>0</v>
      </c>
      <c r="BH770">
        <v>0</v>
      </c>
      <c r="BI770">
        <v>64</v>
      </c>
      <c r="BJ770">
        <v>0</v>
      </c>
      <c r="BK770">
        <v>0</v>
      </c>
      <c r="BL770">
        <v>0</v>
      </c>
      <c r="BM770">
        <v>0</v>
      </c>
      <c r="BN770">
        <v>754.72</v>
      </c>
      <c r="BO770">
        <v>120.75</v>
      </c>
      <c r="BP770">
        <v>30.19</v>
      </c>
      <c r="BQ770">
        <f t="shared" ref="BQ770:BQ833" si="12">(BN770+BO770-BP770)</f>
        <v>845.28</v>
      </c>
      <c r="BR770" t="s">
        <v>501</v>
      </c>
    </row>
    <row r="771" spans="1:70">
      <c r="A771" t="s">
        <v>3245</v>
      </c>
      <c r="B771" t="s">
        <v>3246</v>
      </c>
      <c r="C771" t="s">
        <v>71</v>
      </c>
      <c r="D771" t="s">
        <v>289</v>
      </c>
      <c r="E771" t="s">
        <v>73</v>
      </c>
      <c r="F771" t="s">
        <v>74</v>
      </c>
      <c r="G771">
        <v>242311</v>
      </c>
      <c r="H771" t="s">
        <v>74</v>
      </c>
      <c r="I771" t="s">
        <v>75</v>
      </c>
      <c r="J771" t="s">
        <v>74</v>
      </c>
      <c r="K771" t="s">
        <v>3247</v>
      </c>
      <c r="L771" t="s">
        <v>77</v>
      </c>
      <c r="M771" t="s">
        <v>78</v>
      </c>
      <c r="N771" t="s">
        <v>866</v>
      </c>
      <c r="O771" t="s">
        <v>3248</v>
      </c>
      <c r="P771" t="s">
        <v>3198</v>
      </c>
      <c r="X771">
        <v>20</v>
      </c>
      <c r="AF771" t="s">
        <v>384</v>
      </c>
      <c r="AG771" t="s">
        <v>296</v>
      </c>
      <c r="AH771" t="s">
        <v>384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3</v>
      </c>
      <c r="AT771">
        <v>0</v>
      </c>
      <c r="AU771">
        <v>0</v>
      </c>
      <c r="AV771">
        <v>525.79999999999995</v>
      </c>
      <c r="AW771">
        <v>0</v>
      </c>
      <c r="AX771">
        <v>0</v>
      </c>
      <c r="AY771">
        <v>0</v>
      </c>
      <c r="AZ771">
        <v>0</v>
      </c>
      <c r="BA771">
        <v>0</v>
      </c>
      <c r="BB771">
        <v>0</v>
      </c>
      <c r="BC771">
        <v>0</v>
      </c>
      <c r="BD771">
        <v>923.8</v>
      </c>
      <c r="BE771">
        <v>0</v>
      </c>
      <c r="BF771">
        <v>800</v>
      </c>
      <c r="BG771">
        <v>0</v>
      </c>
      <c r="BH771">
        <v>0</v>
      </c>
      <c r="BI771">
        <v>160</v>
      </c>
      <c r="BJ771">
        <v>0</v>
      </c>
      <c r="BK771">
        <v>0</v>
      </c>
      <c r="BL771">
        <v>0</v>
      </c>
      <c r="BM771">
        <v>0</v>
      </c>
      <c r="BN771">
        <v>2412.6</v>
      </c>
      <c r="BO771">
        <v>386.02</v>
      </c>
      <c r="BP771">
        <v>75.47</v>
      </c>
      <c r="BQ771">
        <f t="shared" si="12"/>
        <v>2723.15</v>
      </c>
      <c r="BR771" t="s">
        <v>866</v>
      </c>
    </row>
    <row r="772" spans="1:70">
      <c r="A772" t="s">
        <v>3249</v>
      </c>
      <c r="B772" t="s">
        <v>3250</v>
      </c>
      <c r="C772" t="s">
        <v>71</v>
      </c>
      <c r="D772" t="s">
        <v>289</v>
      </c>
      <c r="E772" t="s">
        <v>73</v>
      </c>
      <c r="F772" t="s">
        <v>74</v>
      </c>
      <c r="G772">
        <v>242307</v>
      </c>
      <c r="H772" t="s">
        <v>74</v>
      </c>
      <c r="I772" t="s">
        <v>75</v>
      </c>
      <c r="J772" t="s">
        <v>74</v>
      </c>
      <c r="K772" t="s">
        <v>3251</v>
      </c>
      <c r="L772" t="s">
        <v>77</v>
      </c>
      <c r="M772" t="s">
        <v>78</v>
      </c>
      <c r="N772" t="s">
        <v>438</v>
      </c>
      <c r="O772" t="s">
        <v>1594</v>
      </c>
      <c r="P772" t="s">
        <v>3198</v>
      </c>
      <c r="X772">
        <v>5</v>
      </c>
      <c r="AF772" t="s">
        <v>333</v>
      </c>
      <c r="AG772" t="s">
        <v>296</v>
      </c>
      <c r="AH772" t="s">
        <v>333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0.75</v>
      </c>
      <c r="AT772">
        <v>0</v>
      </c>
      <c r="AU772">
        <v>0</v>
      </c>
      <c r="AV772">
        <v>0</v>
      </c>
      <c r="AW772">
        <v>0</v>
      </c>
      <c r="AX772">
        <v>0</v>
      </c>
      <c r="AY772">
        <v>0</v>
      </c>
      <c r="AZ772">
        <v>0</v>
      </c>
      <c r="BA772">
        <v>0</v>
      </c>
      <c r="BB772">
        <v>0</v>
      </c>
      <c r="BC772">
        <v>0</v>
      </c>
      <c r="BD772">
        <v>77.25</v>
      </c>
      <c r="BE772">
        <v>0</v>
      </c>
      <c r="BF772">
        <v>200</v>
      </c>
      <c r="BG772">
        <v>0</v>
      </c>
      <c r="BH772">
        <v>0</v>
      </c>
      <c r="BI772">
        <v>40</v>
      </c>
      <c r="BJ772">
        <v>0</v>
      </c>
      <c r="BK772">
        <v>0</v>
      </c>
      <c r="BL772">
        <v>0</v>
      </c>
      <c r="BM772">
        <v>0</v>
      </c>
      <c r="BN772">
        <v>318</v>
      </c>
      <c r="BO772">
        <v>50.88</v>
      </c>
      <c r="BP772">
        <v>12.72</v>
      </c>
      <c r="BQ772">
        <f t="shared" si="12"/>
        <v>356.15999999999997</v>
      </c>
      <c r="BR772" t="s">
        <v>440</v>
      </c>
    </row>
    <row r="773" spans="1:70">
      <c r="A773" t="s">
        <v>3252</v>
      </c>
      <c r="B773" t="s">
        <v>3253</v>
      </c>
      <c r="C773" t="s">
        <v>71</v>
      </c>
      <c r="D773" t="s">
        <v>289</v>
      </c>
      <c r="E773" t="s">
        <v>73</v>
      </c>
      <c r="F773" t="s">
        <v>74</v>
      </c>
      <c r="G773">
        <v>242305</v>
      </c>
      <c r="H773" t="s">
        <v>74</v>
      </c>
      <c r="I773" t="s">
        <v>75</v>
      </c>
      <c r="J773" t="s">
        <v>74</v>
      </c>
      <c r="K773" t="s">
        <v>3254</v>
      </c>
      <c r="L773" t="s">
        <v>77</v>
      </c>
      <c r="M773" t="s">
        <v>78</v>
      </c>
      <c r="N773" t="s">
        <v>406</v>
      </c>
      <c r="O773" t="s">
        <v>1263</v>
      </c>
      <c r="P773" t="s">
        <v>3198</v>
      </c>
      <c r="X773">
        <v>6</v>
      </c>
      <c r="AF773" t="s">
        <v>400</v>
      </c>
      <c r="AG773" t="s">
        <v>296</v>
      </c>
      <c r="AH773" t="s">
        <v>400</v>
      </c>
      <c r="AJ773">
        <v>0</v>
      </c>
      <c r="AK773">
        <v>0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0.9</v>
      </c>
      <c r="AT773">
        <v>0</v>
      </c>
      <c r="AU773">
        <v>0</v>
      </c>
      <c r="AV773">
        <v>0</v>
      </c>
      <c r="AW773">
        <v>0</v>
      </c>
      <c r="AX773">
        <v>0</v>
      </c>
      <c r="AY773">
        <v>0</v>
      </c>
      <c r="AZ773">
        <v>0</v>
      </c>
      <c r="BA773">
        <v>0</v>
      </c>
      <c r="BB773">
        <v>0</v>
      </c>
      <c r="BC773">
        <v>0</v>
      </c>
      <c r="BD773">
        <v>92.7</v>
      </c>
      <c r="BE773">
        <v>0</v>
      </c>
      <c r="BF773">
        <v>240</v>
      </c>
      <c r="BG773">
        <v>0</v>
      </c>
      <c r="BH773">
        <v>0</v>
      </c>
      <c r="BI773">
        <v>48</v>
      </c>
      <c r="BJ773">
        <v>0</v>
      </c>
      <c r="BK773">
        <v>0</v>
      </c>
      <c r="BL773">
        <v>0</v>
      </c>
      <c r="BM773">
        <v>0</v>
      </c>
      <c r="BN773">
        <v>381.6</v>
      </c>
      <c r="BO773">
        <v>61.05</v>
      </c>
      <c r="BP773">
        <v>15.27</v>
      </c>
      <c r="BQ773">
        <f t="shared" si="12"/>
        <v>427.38000000000005</v>
      </c>
      <c r="BR773" t="s">
        <v>406</v>
      </c>
    </row>
    <row r="774" spans="1:70">
      <c r="A774" t="s">
        <v>3255</v>
      </c>
      <c r="B774" t="s">
        <v>3256</v>
      </c>
      <c r="C774" t="s">
        <v>71</v>
      </c>
      <c r="D774" t="s">
        <v>289</v>
      </c>
      <c r="E774" t="s">
        <v>73</v>
      </c>
      <c r="F774" t="s">
        <v>74</v>
      </c>
      <c r="G774">
        <v>242297</v>
      </c>
      <c r="H774" t="s">
        <v>74</v>
      </c>
      <c r="I774" t="s">
        <v>75</v>
      </c>
      <c r="J774" t="s">
        <v>74</v>
      </c>
      <c r="K774" t="s">
        <v>3257</v>
      </c>
      <c r="L774" t="s">
        <v>77</v>
      </c>
      <c r="M774" t="s">
        <v>78</v>
      </c>
      <c r="N774" t="s">
        <v>324</v>
      </c>
      <c r="O774" t="s">
        <v>1709</v>
      </c>
      <c r="P774" t="s">
        <v>3198</v>
      </c>
      <c r="X774">
        <v>32</v>
      </c>
      <c r="AF774" t="s">
        <v>1112</v>
      </c>
      <c r="AG774" t="s">
        <v>296</v>
      </c>
      <c r="AH774" t="s">
        <v>1112</v>
      </c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0</v>
      </c>
      <c r="AR774">
        <v>0</v>
      </c>
      <c r="AS774">
        <v>4.8</v>
      </c>
      <c r="AT774">
        <v>0</v>
      </c>
      <c r="AU774">
        <v>0</v>
      </c>
      <c r="AV774">
        <v>841.28</v>
      </c>
      <c r="AW774">
        <v>0</v>
      </c>
      <c r="AX774">
        <v>0</v>
      </c>
      <c r="AY774">
        <v>0</v>
      </c>
      <c r="AZ774">
        <v>0</v>
      </c>
      <c r="BA774">
        <v>0</v>
      </c>
      <c r="BB774">
        <v>0</v>
      </c>
      <c r="BC774">
        <v>0</v>
      </c>
      <c r="BD774">
        <v>1478.08</v>
      </c>
      <c r="BE774">
        <v>0</v>
      </c>
      <c r="BF774">
        <v>1280</v>
      </c>
      <c r="BG774">
        <v>0</v>
      </c>
      <c r="BH774">
        <v>0</v>
      </c>
      <c r="BI774">
        <v>256</v>
      </c>
      <c r="BJ774">
        <v>0</v>
      </c>
      <c r="BK774">
        <v>0</v>
      </c>
      <c r="BL774">
        <v>0</v>
      </c>
      <c r="BM774">
        <v>0</v>
      </c>
      <c r="BN774">
        <v>3860.16</v>
      </c>
      <c r="BO774">
        <v>617.62</v>
      </c>
      <c r="BP774">
        <v>120.75</v>
      </c>
      <c r="BQ774">
        <f t="shared" si="12"/>
        <v>4357.03</v>
      </c>
      <c r="BR774" t="s">
        <v>324</v>
      </c>
    </row>
    <row r="775" spans="1:70">
      <c r="A775" t="s">
        <v>3258</v>
      </c>
      <c r="B775" t="s">
        <v>3259</v>
      </c>
      <c r="C775" t="s">
        <v>71</v>
      </c>
      <c r="D775" t="s">
        <v>289</v>
      </c>
      <c r="E775" t="s">
        <v>73</v>
      </c>
      <c r="F775" t="s">
        <v>74</v>
      </c>
      <c r="G775">
        <v>242259</v>
      </c>
      <c r="H775" t="s">
        <v>74</v>
      </c>
      <c r="I775" t="s">
        <v>75</v>
      </c>
      <c r="J775" t="s">
        <v>74</v>
      </c>
      <c r="K775" t="s">
        <v>3260</v>
      </c>
      <c r="L775" t="s">
        <v>77</v>
      </c>
      <c r="M775" t="s">
        <v>78</v>
      </c>
      <c r="N775" t="s">
        <v>1730</v>
      </c>
      <c r="O775" t="s">
        <v>3261</v>
      </c>
      <c r="P775" t="s">
        <v>3198</v>
      </c>
      <c r="X775">
        <v>18</v>
      </c>
      <c r="AF775" t="s">
        <v>395</v>
      </c>
      <c r="AG775" t="s">
        <v>296</v>
      </c>
      <c r="AH775" t="s">
        <v>395</v>
      </c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2.7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0</v>
      </c>
      <c r="BC775">
        <v>0</v>
      </c>
      <c r="BD775">
        <v>831.42</v>
      </c>
      <c r="BE775">
        <v>0</v>
      </c>
      <c r="BF775">
        <v>720</v>
      </c>
      <c r="BG775">
        <v>0</v>
      </c>
      <c r="BH775">
        <v>0</v>
      </c>
      <c r="BI775">
        <v>144</v>
      </c>
      <c r="BJ775">
        <v>0</v>
      </c>
      <c r="BK775">
        <v>0</v>
      </c>
      <c r="BL775">
        <v>0</v>
      </c>
      <c r="BM775">
        <v>0</v>
      </c>
      <c r="BN775">
        <v>1698.12</v>
      </c>
      <c r="BO775">
        <v>271.7</v>
      </c>
      <c r="BP775">
        <v>67.930000000000007</v>
      </c>
      <c r="BQ775">
        <f t="shared" si="12"/>
        <v>1901.8899999999999</v>
      </c>
      <c r="BR775" t="s">
        <v>1732</v>
      </c>
    </row>
    <row r="776" spans="1:70">
      <c r="A776" t="s">
        <v>3262</v>
      </c>
      <c r="B776" t="s">
        <v>3263</v>
      </c>
      <c r="C776" t="s">
        <v>71</v>
      </c>
      <c r="D776" t="s">
        <v>289</v>
      </c>
      <c r="E776" t="s">
        <v>73</v>
      </c>
      <c r="F776" t="s">
        <v>74</v>
      </c>
      <c r="G776">
        <v>242298</v>
      </c>
      <c r="H776" t="s">
        <v>74</v>
      </c>
      <c r="I776" t="s">
        <v>75</v>
      </c>
      <c r="K776" t="s">
        <v>3264</v>
      </c>
      <c r="L776" t="s">
        <v>77</v>
      </c>
      <c r="M776" t="s">
        <v>78</v>
      </c>
      <c r="N776" t="s">
        <v>866</v>
      </c>
      <c r="O776" t="s">
        <v>867</v>
      </c>
      <c r="P776" t="s">
        <v>3198</v>
      </c>
      <c r="X776">
        <v>8</v>
      </c>
      <c r="AF776" t="s">
        <v>1006</v>
      </c>
      <c r="AG776" t="s">
        <v>296</v>
      </c>
      <c r="AH776" t="s">
        <v>1006</v>
      </c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1.2</v>
      </c>
      <c r="AT776">
        <v>0</v>
      </c>
      <c r="AU776">
        <v>0</v>
      </c>
      <c r="AV776">
        <v>210.32</v>
      </c>
      <c r="AW776">
        <v>0</v>
      </c>
      <c r="AX776">
        <v>0</v>
      </c>
      <c r="AY776">
        <v>0</v>
      </c>
      <c r="AZ776">
        <v>0</v>
      </c>
      <c r="BA776">
        <v>0</v>
      </c>
      <c r="BB776">
        <v>0</v>
      </c>
      <c r="BC776">
        <v>0</v>
      </c>
      <c r="BD776">
        <v>369.52</v>
      </c>
      <c r="BE776">
        <v>0</v>
      </c>
      <c r="BF776">
        <v>320</v>
      </c>
      <c r="BG776">
        <v>0</v>
      </c>
      <c r="BH776">
        <v>0</v>
      </c>
      <c r="BI776">
        <v>64</v>
      </c>
      <c r="BJ776">
        <v>0</v>
      </c>
      <c r="BK776">
        <v>0</v>
      </c>
      <c r="BL776">
        <v>0</v>
      </c>
      <c r="BM776">
        <v>0</v>
      </c>
      <c r="BN776">
        <v>965.04</v>
      </c>
      <c r="BO776">
        <v>154.4</v>
      </c>
      <c r="BP776">
        <v>30.19</v>
      </c>
      <c r="BQ776">
        <f t="shared" si="12"/>
        <v>1089.25</v>
      </c>
      <c r="BR776" t="s">
        <v>866</v>
      </c>
    </row>
    <row r="777" spans="1:70">
      <c r="A777" t="s">
        <v>3265</v>
      </c>
      <c r="B777" t="s">
        <v>3266</v>
      </c>
      <c r="C777" t="s">
        <v>71</v>
      </c>
      <c r="D777" t="s">
        <v>289</v>
      </c>
      <c r="E777" t="s">
        <v>73</v>
      </c>
      <c r="F777" t="s">
        <v>74</v>
      </c>
      <c r="G777">
        <v>242258</v>
      </c>
      <c r="H777" t="s">
        <v>74</v>
      </c>
      <c r="I777" t="s">
        <v>75</v>
      </c>
      <c r="J777" t="s">
        <v>74</v>
      </c>
      <c r="K777" t="s">
        <v>3267</v>
      </c>
      <c r="L777" t="s">
        <v>77</v>
      </c>
      <c r="M777" t="s">
        <v>78</v>
      </c>
      <c r="N777" t="s">
        <v>501</v>
      </c>
      <c r="O777" t="s">
        <v>3244</v>
      </c>
      <c r="P777" t="s">
        <v>3198</v>
      </c>
      <c r="X777">
        <v>8</v>
      </c>
      <c r="AF777" t="s">
        <v>1006</v>
      </c>
      <c r="AG777" t="s">
        <v>296</v>
      </c>
      <c r="AH777" t="s">
        <v>1006</v>
      </c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1.2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0</v>
      </c>
      <c r="BA777">
        <v>0</v>
      </c>
      <c r="BB777">
        <v>0</v>
      </c>
      <c r="BC777">
        <v>0</v>
      </c>
      <c r="BD777">
        <v>369.52</v>
      </c>
      <c r="BE777">
        <v>0</v>
      </c>
      <c r="BF777">
        <v>320</v>
      </c>
      <c r="BG777">
        <v>0</v>
      </c>
      <c r="BH777">
        <v>0</v>
      </c>
      <c r="BI777">
        <v>64</v>
      </c>
      <c r="BJ777">
        <v>0</v>
      </c>
      <c r="BK777">
        <v>0</v>
      </c>
      <c r="BL777">
        <v>0</v>
      </c>
      <c r="BM777">
        <v>0</v>
      </c>
      <c r="BN777">
        <v>754.72</v>
      </c>
      <c r="BO777">
        <v>120.75</v>
      </c>
      <c r="BP777">
        <v>30.19</v>
      </c>
      <c r="BQ777">
        <f t="shared" si="12"/>
        <v>845.28</v>
      </c>
      <c r="BR777" t="s">
        <v>501</v>
      </c>
    </row>
    <row r="778" spans="1:70">
      <c r="A778" t="s">
        <v>3268</v>
      </c>
      <c r="B778" t="s">
        <v>3269</v>
      </c>
      <c r="C778" t="s">
        <v>71</v>
      </c>
      <c r="D778" t="s">
        <v>289</v>
      </c>
      <c r="E778" t="s">
        <v>73</v>
      </c>
      <c r="F778" t="s">
        <v>74</v>
      </c>
      <c r="G778">
        <v>242257</v>
      </c>
      <c r="H778" t="s">
        <v>74</v>
      </c>
      <c r="I778" t="s">
        <v>75</v>
      </c>
      <c r="J778" t="s">
        <v>74</v>
      </c>
      <c r="K778" t="s">
        <v>3270</v>
      </c>
      <c r="L778" t="s">
        <v>77</v>
      </c>
      <c r="M778" t="s">
        <v>78</v>
      </c>
      <c r="N778" t="s">
        <v>474</v>
      </c>
      <c r="O778" t="s">
        <v>3271</v>
      </c>
      <c r="P778" t="s">
        <v>3198</v>
      </c>
      <c r="X778">
        <v>10</v>
      </c>
      <c r="AF778" t="s">
        <v>372</v>
      </c>
      <c r="AG778" t="s">
        <v>296</v>
      </c>
      <c r="AH778" t="s">
        <v>372</v>
      </c>
      <c r="AJ778">
        <v>0</v>
      </c>
      <c r="AK778">
        <v>0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1.5</v>
      </c>
      <c r="AT778">
        <v>0</v>
      </c>
      <c r="AU778">
        <v>0</v>
      </c>
      <c r="AV778">
        <v>0</v>
      </c>
      <c r="AW778">
        <v>0</v>
      </c>
      <c r="AX778">
        <v>0</v>
      </c>
      <c r="AY778">
        <v>0</v>
      </c>
      <c r="AZ778">
        <v>0</v>
      </c>
      <c r="BA778">
        <v>0</v>
      </c>
      <c r="BB778">
        <v>0</v>
      </c>
      <c r="BC778">
        <v>0</v>
      </c>
      <c r="BD778">
        <v>461.9</v>
      </c>
      <c r="BE778">
        <v>0</v>
      </c>
      <c r="BF778">
        <v>400</v>
      </c>
      <c r="BG778">
        <v>0</v>
      </c>
      <c r="BH778">
        <v>0</v>
      </c>
      <c r="BI778">
        <v>80</v>
      </c>
      <c r="BJ778">
        <v>0</v>
      </c>
      <c r="BK778">
        <v>0</v>
      </c>
      <c r="BL778">
        <v>0</v>
      </c>
      <c r="BM778">
        <v>0</v>
      </c>
      <c r="BN778">
        <v>943.4</v>
      </c>
      <c r="BO778">
        <v>150.94</v>
      </c>
      <c r="BP778">
        <v>37.74</v>
      </c>
      <c r="BQ778">
        <f t="shared" si="12"/>
        <v>1056.5999999999999</v>
      </c>
      <c r="BR778" t="s">
        <v>476</v>
      </c>
    </row>
    <row r="779" spans="1:70">
      <c r="A779" t="s">
        <v>3272</v>
      </c>
      <c r="B779" t="s">
        <v>3273</v>
      </c>
      <c r="C779" t="s">
        <v>71</v>
      </c>
      <c r="D779" t="s">
        <v>289</v>
      </c>
      <c r="E779" t="s">
        <v>73</v>
      </c>
      <c r="F779" t="s">
        <v>74</v>
      </c>
      <c r="G779">
        <v>242289</v>
      </c>
      <c r="H779" t="s">
        <v>74</v>
      </c>
      <c r="I779" t="s">
        <v>75</v>
      </c>
      <c r="J779" t="s">
        <v>74</v>
      </c>
      <c r="K779" t="s">
        <v>3274</v>
      </c>
      <c r="L779" t="s">
        <v>77</v>
      </c>
      <c r="M779" t="s">
        <v>78</v>
      </c>
      <c r="N779" t="s">
        <v>501</v>
      </c>
      <c r="O779" t="s">
        <v>3275</v>
      </c>
      <c r="P779" t="s">
        <v>3198</v>
      </c>
      <c r="X779">
        <v>5</v>
      </c>
      <c r="AF779" t="s">
        <v>333</v>
      </c>
      <c r="AG779" t="s">
        <v>296</v>
      </c>
      <c r="AH779" t="s">
        <v>333</v>
      </c>
      <c r="AJ779">
        <v>0</v>
      </c>
      <c r="AK779">
        <v>0</v>
      </c>
      <c r="AL779">
        <v>0</v>
      </c>
      <c r="AM779">
        <v>0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0.75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0</v>
      </c>
      <c r="BC779">
        <v>0</v>
      </c>
      <c r="BD779">
        <v>230.95</v>
      </c>
      <c r="BE779">
        <v>0</v>
      </c>
      <c r="BF779">
        <v>200</v>
      </c>
      <c r="BG779">
        <v>0</v>
      </c>
      <c r="BH779">
        <v>0</v>
      </c>
      <c r="BI779">
        <v>40</v>
      </c>
      <c r="BJ779">
        <v>0</v>
      </c>
      <c r="BK779">
        <v>0</v>
      </c>
      <c r="BL779">
        <v>0</v>
      </c>
      <c r="BM779">
        <v>0</v>
      </c>
      <c r="BN779">
        <v>471.7</v>
      </c>
      <c r="BO779">
        <v>75.47</v>
      </c>
      <c r="BP779">
        <v>18.87</v>
      </c>
      <c r="BQ779">
        <f t="shared" si="12"/>
        <v>528.29999999999995</v>
      </c>
      <c r="BR779" t="s">
        <v>501</v>
      </c>
    </row>
    <row r="780" spans="1:70">
      <c r="A780" t="s">
        <v>3276</v>
      </c>
      <c r="B780" t="s">
        <v>3277</v>
      </c>
      <c r="C780" t="s">
        <v>71</v>
      </c>
      <c r="D780" t="s">
        <v>289</v>
      </c>
      <c r="E780" t="s">
        <v>73</v>
      </c>
      <c r="F780" t="s">
        <v>74</v>
      </c>
      <c r="G780">
        <v>242251</v>
      </c>
      <c r="H780" t="s">
        <v>74</v>
      </c>
      <c r="I780" t="s">
        <v>75</v>
      </c>
      <c r="J780" t="s">
        <v>74</v>
      </c>
      <c r="K780" t="s">
        <v>3278</v>
      </c>
      <c r="L780" t="s">
        <v>77</v>
      </c>
      <c r="M780" t="s">
        <v>78</v>
      </c>
      <c r="N780" t="s">
        <v>620</v>
      </c>
      <c r="O780" t="s">
        <v>716</v>
      </c>
      <c r="P780" t="s">
        <v>3198</v>
      </c>
      <c r="X780">
        <v>6</v>
      </c>
      <c r="AF780" t="s">
        <v>400</v>
      </c>
      <c r="AG780" t="s">
        <v>296</v>
      </c>
      <c r="AH780" t="s">
        <v>400</v>
      </c>
      <c r="AJ780">
        <v>0</v>
      </c>
      <c r="AK780">
        <v>0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0.9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92.7</v>
      </c>
      <c r="BE780">
        <v>0</v>
      </c>
      <c r="BF780">
        <v>240</v>
      </c>
      <c r="BG780">
        <v>0</v>
      </c>
      <c r="BH780">
        <v>0</v>
      </c>
      <c r="BI780">
        <v>48</v>
      </c>
      <c r="BJ780">
        <v>0</v>
      </c>
      <c r="BK780">
        <v>0</v>
      </c>
      <c r="BL780">
        <v>0</v>
      </c>
      <c r="BM780">
        <v>0</v>
      </c>
      <c r="BN780">
        <v>381.6</v>
      </c>
      <c r="BO780">
        <v>61.05</v>
      </c>
      <c r="BP780">
        <v>15.27</v>
      </c>
      <c r="BQ780">
        <f t="shared" si="12"/>
        <v>427.38000000000005</v>
      </c>
      <c r="BR780" t="s">
        <v>83</v>
      </c>
    </row>
    <row r="781" spans="1:70">
      <c r="A781" t="s">
        <v>3279</v>
      </c>
      <c r="B781" t="s">
        <v>3280</v>
      </c>
      <c r="C781" t="s">
        <v>71</v>
      </c>
      <c r="D781" t="s">
        <v>289</v>
      </c>
      <c r="E781" t="s">
        <v>73</v>
      </c>
      <c r="F781" t="s">
        <v>74</v>
      </c>
      <c r="G781">
        <v>242286</v>
      </c>
      <c r="H781" t="s">
        <v>74</v>
      </c>
      <c r="I781" t="s">
        <v>75</v>
      </c>
      <c r="J781" t="s">
        <v>74</v>
      </c>
      <c r="K781" t="s">
        <v>3281</v>
      </c>
      <c r="L781" t="s">
        <v>77</v>
      </c>
      <c r="M781" t="s">
        <v>78</v>
      </c>
      <c r="N781" t="s">
        <v>438</v>
      </c>
      <c r="O781" t="s">
        <v>946</v>
      </c>
      <c r="P781" t="s">
        <v>3198</v>
      </c>
      <c r="AB781">
        <v>3</v>
      </c>
      <c r="AF781" t="s">
        <v>314</v>
      </c>
      <c r="AG781" t="s">
        <v>296</v>
      </c>
      <c r="AH781" t="s">
        <v>314</v>
      </c>
      <c r="AJ781">
        <v>0</v>
      </c>
      <c r="AK781">
        <v>0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0.45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279.54000000000002</v>
      </c>
      <c r="BE781">
        <v>0</v>
      </c>
      <c r="BF781">
        <v>120</v>
      </c>
      <c r="BG781">
        <v>0</v>
      </c>
      <c r="BH781">
        <v>0</v>
      </c>
      <c r="BI781">
        <v>24</v>
      </c>
      <c r="BJ781">
        <v>0</v>
      </c>
      <c r="BK781">
        <v>0</v>
      </c>
      <c r="BL781">
        <v>0</v>
      </c>
      <c r="BM781">
        <v>0</v>
      </c>
      <c r="BN781">
        <v>423.99</v>
      </c>
      <c r="BO781">
        <v>67.84</v>
      </c>
      <c r="BP781">
        <v>16.96</v>
      </c>
      <c r="BQ781">
        <f t="shared" si="12"/>
        <v>474.87000000000006</v>
      </c>
      <c r="BR781" t="s">
        <v>440</v>
      </c>
    </row>
    <row r="782" spans="1:70">
      <c r="A782" t="s">
        <v>3282</v>
      </c>
      <c r="B782" t="s">
        <v>3283</v>
      </c>
      <c r="C782" t="s">
        <v>71</v>
      </c>
      <c r="D782" t="s">
        <v>289</v>
      </c>
      <c r="E782" t="s">
        <v>73</v>
      </c>
      <c r="F782" t="s">
        <v>74</v>
      </c>
      <c r="G782">
        <v>242241</v>
      </c>
      <c r="H782" t="s">
        <v>74</v>
      </c>
      <c r="I782" t="s">
        <v>75</v>
      </c>
      <c r="J782" t="s">
        <v>74</v>
      </c>
      <c r="K782" t="s">
        <v>3284</v>
      </c>
      <c r="L782" t="s">
        <v>77</v>
      </c>
      <c r="M782" t="s">
        <v>78</v>
      </c>
      <c r="N782" t="s">
        <v>161</v>
      </c>
      <c r="O782" t="s">
        <v>3285</v>
      </c>
      <c r="P782" t="s">
        <v>3198</v>
      </c>
      <c r="X782">
        <v>33</v>
      </c>
      <c r="AF782" t="s">
        <v>502</v>
      </c>
      <c r="AG782" t="s">
        <v>296</v>
      </c>
      <c r="AH782" t="s">
        <v>502</v>
      </c>
      <c r="AJ782">
        <v>0</v>
      </c>
      <c r="AK782">
        <v>0</v>
      </c>
      <c r="AL782">
        <v>0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4.95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0</v>
      </c>
      <c r="AZ782">
        <v>0</v>
      </c>
      <c r="BA782">
        <v>0</v>
      </c>
      <c r="BB782">
        <v>0</v>
      </c>
      <c r="BC782">
        <v>0</v>
      </c>
      <c r="BD782">
        <v>509.85</v>
      </c>
      <c r="BE782">
        <v>0</v>
      </c>
      <c r="BF782">
        <v>1320</v>
      </c>
      <c r="BG782">
        <v>0</v>
      </c>
      <c r="BH782">
        <v>0</v>
      </c>
      <c r="BI782">
        <v>264</v>
      </c>
      <c r="BJ782">
        <v>0</v>
      </c>
      <c r="BK782">
        <v>0</v>
      </c>
      <c r="BL782">
        <v>0</v>
      </c>
      <c r="BM782">
        <v>0</v>
      </c>
      <c r="BN782">
        <v>2098.8000000000002</v>
      </c>
      <c r="BO782">
        <v>335.81</v>
      </c>
      <c r="BP782">
        <v>83.95</v>
      </c>
      <c r="BQ782">
        <f t="shared" si="12"/>
        <v>2350.6600000000003</v>
      </c>
      <c r="BR782" t="s">
        <v>83</v>
      </c>
    </row>
    <row r="783" spans="1:70">
      <c r="A783" t="s">
        <v>3286</v>
      </c>
      <c r="B783" t="s">
        <v>3287</v>
      </c>
      <c r="C783" t="s">
        <v>71</v>
      </c>
      <c r="D783" t="s">
        <v>289</v>
      </c>
      <c r="E783" t="s">
        <v>73</v>
      </c>
      <c r="F783" t="s">
        <v>74</v>
      </c>
      <c r="G783" t="s">
        <v>3288</v>
      </c>
      <c r="H783" t="s">
        <v>74</v>
      </c>
      <c r="I783" t="s">
        <v>75</v>
      </c>
      <c r="J783" t="s">
        <v>74</v>
      </c>
      <c r="K783" t="s">
        <v>3289</v>
      </c>
      <c r="L783" t="s">
        <v>77</v>
      </c>
      <c r="M783" t="s">
        <v>78</v>
      </c>
      <c r="N783" t="s">
        <v>765</v>
      </c>
      <c r="O783" t="s">
        <v>2046</v>
      </c>
      <c r="P783" t="s">
        <v>3198</v>
      </c>
      <c r="X783">
        <v>21</v>
      </c>
      <c r="AF783" t="s">
        <v>684</v>
      </c>
      <c r="AG783" t="s">
        <v>296</v>
      </c>
      <c r="AH783" t="s">
        <v>684</v>
      </c>
      <c r="AJ783">
        <v>0</v>
      </c>
      <c r="AK783">
        <v>0</v>
      </c>
      <c r="AL783">
        <v>0</v>
      </c>
      <c r="AM783">
        <v>0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3.15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</v>
      </c>
      <c r="BA783">
        <v>0</v>
      </c>
      <c r="BB783">
        <v>0</v>
      </c>
      <c r="BC783">
        <v>0</v>
      </c>
      <c r="BD783">
        <v>969.99</v>
      </c>
      <c r="BE783">
        <v>0</v>
      </c>
      <c r="BF783">
        <v>840</v>
      </c>
      <c r="BG783">
        <v>0</v>
      </c>
      <c r="BH783">
        <v>0</v>
      </c>
      <c r="BI783">
        <v>168</v>
      </c>
      <c r="BJ783">
        <v>0</v>
      </c>
      <c r="BK783">
        <v>0</v>
      </c>
      <c r="BL783">
        <v>0</v>
      </c>
      <c r="BM783">
        <v>0</v>
      </c>
      <c r="BN783">
        <v>1981.14</v>
      </c>
      <c r="BO783">
        <v>316.98</v>
      </c>
      <c r="BP783">
        <v>79.25</v>
      </c>
      <c r="BQ783">
        <f t="shared" si="12"/>
        <v>2218.87</v>
      </c>
      <c r="BR783" t="s">
        <v>332</v>
      </c>
    </row>
    <row r="784" spans="1:70">
      <c r="A784" t="s">
        <v>3290</v>
      </c>
      <c r="B784" t="s">
        <v>3291</v>
      </c>
      <c r="C784" t="s">
        <v>71</v>
      </c>
      <c r="D784" t="s">
        <v>289</v>
      </c>
      <c r="E784" t="s">
        <v>73</v>
      </c>
      <c r="F784" t="s">
        <v>74</v>
      </c>
      <c r="G784">
        <v>242238</v>
      </c>
      <c r="H784" t="s">
        <v>74</v>
      </c>
      <c r="I784" t="s">
        <v>75</v>
      </c>
      <c r="J784" t="s">
        <v>74</v>
      </c>
      <c r="K784" t="s">
        <v>3292</v>
      </c>
      <c r="L784" t="s">
        <v>77</v>
      </c>
      <c r="M784" t="s">
        <v>78</v>
      </c>
      <c r="N784" t="s">
        <v>832</v>
      </c>
      <c r="O784" t="s">
        <v>3140</v>
      </c>
      <c r="P784" t="s">
        <v>3198</v>
      </c>
      <c r="X784">
        <v>8</v>
      </c>
      <c r="AF784" t="s">
        <v>1006</v>
      </c>
      <c r="AG784" t="s">
        <v>296</v>
      </c>
      <c r="AH784" t="s">
        <v>1006</v>
      </c>
      <c r="AJ784">
        <v>0</v>
      </c>
      <c r="AK784">
        <v>0</v>
      </c>
      <c r="AL784">
        <v>0</v>
      </c>
      <c r="AM784">
        <v>0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1.2</v>
      </c>
      <c r="AT784">
        <v>0</v>
      </c>
      <c r="AU784">
        <v>0</v>
      </c>
      <c r="AV784">
        <v>0</v>
      </c>
      <c r="AW784">
        <v>0</v>
      </c>
      <c r="AX784">
        <v>0</v>
      </c>
      <c r="AY784">
        <v>0</v>
      </c>
      <c r="AZ784">
        <v>0</v>
      </c>
      <c r="BA784">
        <v>0</v>
      </c>
      <c r="BB784">
        <v>0</v>
      </c>
      <c r="BC784">
        <v>0</v>
      </c>
      <c r="BD784">
        <v>123.6</v>
      </c>
      <c r="BE784">
        <v>0</v>
      </c>
      <c r="BF784">
        <v>320</v>
      </c>
      <c r="BG784">
        <v>0</v>
      </c>
      <c r="BH784">
        <v>0</v>
      </c>
      <c r="BI784">
        <v>64</v>
      </c>
      <c r="BJ784">
        <v>0</v>
      </c>
      <c r="BK784">
        <v>0</v>
      </c>
      <c r="BL784">
        <v>0</v>
      </c>
      <c r="BM784">
        <v>0</v>
      </c>
      <c r="BN784">
        <v>508.8</v>
      </c>
      <c r="BO784">
        <v>81.41</v>
      </c>
      <c r="BP784">
        <v>20.350000000000001</v>
      </c>
      <c r="BQ784">
        <f t="shared" si="12"/>
        <v>569.86</v>
      </c>
      <c r="BR784" t="s">
        <v>832</v>
      </c>
    </row>
    <row r="785" spans="1:70">
      <c r="A785" t="s">
        <v>3293</v>
      </c>
      <c r="B785" t="s">
        <v>3294</v>
      </c>
      <c r="C785" t="s">
        <v>71</v>
      </c>
      <c r="D785" t="s">
        <v>289</v>
      </c>
      <c r="E785" t="s">
        <v>73</v>
      </c>
      <c r="F785" t="s">
        <v>74</v>
      </c>
      <c r="G785">
        <v>242269</v>
      </c>
      <c r="H785" t="s">
        <v>74</v>
      </c>
      <c r="I785" t="s">
        <v>75</v>
      </c>
      <c r="J785" t="s">
        <v>74</v>
      </c>
      <c r="K785" t="s">
        <v>3295</v>
      </c>
      <c r="L785" t="s">
        <v>77</v>
      </c>
      <c r="M785" t="s">
        <v>78</v>
      </c>
      <c r="N785" t="s">
        <v>365</v>
      </c>
      <c r="O785" t="s">
        <v>3296</v>
      </c>
      <c r="P785" t="s">
        <v>3198</v>
      </c>
      <c r="X785">
        <v>31</v>
      </c>
      <c r="AF785" t="s">
        <v>1059</v>
      </c>
      <c r="AG785" t="s">
        <v>296</v>
      </c>
      <c r="AH785" t="s">
        <v>1059</v>
      </c>
      <c r="AJ785">
        <v>0</v>
      </c>
      <c r="AK785">
        <v>0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4.6500000000000004</v>
      </c>
      <c r="AT785">
        <v>0</v>
      </c>
      <c r="AU785">
        <v>0</v>
      </c>
      <c r="AV785">
        <v>0</v>
      </c>
      <c r="AW785">
        <v>0</v>
      </c>
      <c r="AX785">
        <v>0</v>
      </c>
      <c r="AY785">
        <v>0</v>
      </c>
      <c r="AZ785">
        <v>0</v>
      </c>
      <c r="BA785">
        <v>0</v>
      </c>
      <c r="BB785">
        <v>0</v>
      </c>
      <c r="BC785">
        <v>0</v>
      </c>
      <c r="BD785">
        <v>478.95</v>
      </c>
      <c r="BE785">
        <v>0</v>
      </c>
      <c r="BF785">
        <v>1240</v>
      </c>
      <c r="BG785">
        <v>0</v>
      </c>
      <c r="BH785">
        <v>0</v>
      </c>
      <c r="BI785">
        <v>248</v>
      </c>
      <c r="BJ785">
        <v>0</v>
      </c>
      <c r="BK785">
        <v>0</v>
      </c>
      <c r="BL785">
        <v>0</v>
      </c>
      <c r="BM785">
        <v>0</v>
      </c>
      <c r="BN785">
        <v>1971.6</v>
      </c>
      <c r="BO785">
        <v>315.45</v>
      </c>
      <c r="BP785">
        <v>78.87</v>
      </c>
      <c r="BQ785">
        <f t="shared" si="12"/>
        <v>2208.1799999999998</v>
      </c>
      <c r="BR785" t="s">
        <v>365</v>
      </c>
    </row>
    <row r="786" spans="1:70">
      <c r="A786" t="s">
        <v>3297</v>
      </c>
      <c r="B786" t="s">
        <v>3298</v>
      </c>
      <c r="C786" t="s">
        <v>71</v>
      </c>
      <c r="D786" t="s">
        <v>289</v>
      </c>
      <c r="E786" t="s">
        <v>73</v>
      </c>
      <c r="F786" t="s">
        <v>74</v>
      </c>
      <c r="G786">
        <v>242207</v>
      </c>
      <c r="H786" t="s">
        <v>74</v>
      </c>
      <c r="I786" t="s">
        <v>75</v>
      </c>
      <c r="J786" t="s">
        <v>74</v>
      </c>
      <c r="K786" t="s">
        <v>3299</v>
      </c>
      <c r="L786" t="s">
        <v>77</v>
      </c>
      <c r="M786" t="s">
        <v>78</v>
      </c>
      <c r="N786" t="s">
        <v>3300</v>
      </c>
      <c r="O786" t="s">
        <v>3301</v>
      </c>
      <c r="P786" t="s">
        <v>3198</v>
      </c>
      <c r="X786">
        <v>23</v>
      </c>
      <c r="AF786" t="s">
        <v>428</v>
      </c>
      <c r="AG786" t="s">
        <v>296</v>
      </c>
      <c r="AH786" t="s">
        <v>428</v>
      </c>
      <c r="AJ786">
        <v>0</v>
      </c>
      <c r="AK786">
        <v>0</v>
      </c>
      <c r="AL786">
        <v>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3.45</v>
      </c>
      <c r="AT786">
        <v>0</v>
      </c>
      <c r="AU786">
        <v>0</v>
      </c>
      <c r="AV786">
        <v>885.5</v>
      </c>
      <c r="AW786">
        <v>0</v>
      </c>
      <c r="AX786">
        <v>0</v>
      </c>
      <c r="AY786">
        <v>0</v>
      </c>
      <c r="AZ786">
        <v>0</v>
      </c>
      <c r="BA786">
        <v>0</v>
      </c>
      <c r="BB786">
        <v>0</v>
      </c>
      <c r="BC786">
        <v>0</v>
      </c>
      <c r="BD786">
        <v>1062.3699999999999</v>
      </c>
      <c r="BE786">
        <v>0</v>
      </c>
      <c r="BF786">
        <v>920</v>
      </c>
      <c r="BG786">
        <v>0</v>
      </c>
      <c r="BH786">
        <v>0</v>
      </c>
      <c r="BI786">
        <v>184</v>
      </c>
      <c r="BJ786">
        <v>0</v>
      </c>
      <c r="BK786">
        <v>0</v>
      </c>
      <c r="BL786">
        <v>0</v>
      </c>
      <c r="BM786">
        <v>0</v>
      </c>
      <c r="BN786">
        <v>3055.32</v>
      </c>
      <c r="BO786">
        <v>488.85</v>
      </c>
      <c r="BP786">
        <v>86.79</v>
      </c>
      <c r="BQ786">
        <f t="shared" si="12"/>
        <v>3457.38</v>
      </c>
      <c r="BR786" t="s">
        <v>117</v>
      </c>
    </row>
    <row r="787" spans="1:70">
      <c r="A787" t="s">
        <v>3302</v>
      </c>
      <c r="B787" t="s">
        <v>3303</v>
      </c>
      <c r="C787" t="s">
        <v>71</v>
      </c>
      <c r="D787" t="s">
        <v>289</v>
      </c>
      <c r="E787" t="s">
        <v>73</v>
      </c>
      <c r="F787" t="s">
        <v>74</v>
      </c>
      <c r="G787">
        <v>242203</v>
      </c>
      <c r="H787" t="s">
        <v>74</v>
      </c>
      <c r="I787" t="s">
        <v>75</v>
      </c>
      <c r="J787" t="s">
        <v>74</v>
      </c>
      <c r="K787" t="s">
        <v>3304</v>
      </c>
      <c r="L787" t="s">
        <v>77</v>
      </c>
      <c r="M787" t="s">
        <v>78</v>
      </c>
      <c r="N787" t="s">
        <v>620</v>
      </c>
      <c r="O787" t="s">
        <v>621</v>
      </c>
      <c r="P787" t="s">
        <v>3198</v>
      </c>
      <c r="X787">
        <v>25</v>
      </c>
      <c r="AF787" t="s">
        <v>717</v>
      </c>
      <c r="AG787" t="s">
        <v>296</v>
      </c>
      <c r="AH787" t="s">
        <v>717</v>
      </c>
      <c r="AJ787">
        <v>0</v>
      </c>
      <c r="AK787">
        <v>0</v>
      </c>
      <c r="AL787">
        <v>0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3.75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0</v>
      </c>
      <c r="AZ787">
        <v>0</v>
      </c>
      <c r="BA787">
        <v>0</v>
      </c>
      <c r="BB787">
        <v>0</v>
      </c>
      <c r="BC787">
        <v>0</v>
      </c>
      <c r="BD787">
        <v>386.25</v>
      </c>
      <c r="BE787">
        <v>0</v>
      </c>
      <c r="BF787">
        <v>1000</v>
      </c>
      <c r="BG787">
        <v>0</v>
      </c>
      <c r="BH787">
        <v>0</v>
      </c>
      <c r="BI787">
        <v>200</v>
      </c>
      <c r="BJ787">
        <v>0</v>
      </c>
      <c r="BK787">
        <v>0</v>
      </c>
      <c r="BL787">
        <v>0</v>
      </c>
      <c r="BM787">
        <v>0</v>
      </c>
      <c r="BN787">
        <v>1590</v>
      </c>
      <c r="BO787">
        <v>254.4</v>
      </c>
      <c r="BP787">
        <v>63.6</v>
      </c>
      <c r="BQ787">
        <f t="shared" si="12"/>
        <v>1780.8000000000002</v>
      </c>
      <c r="BR787" t="s">
        <v>83</v>
      </c>
    </row>
    <row r="788" spans="1:70">
      <c r="A788" t="s">
        <v>3305</v>
      </c>
      <c r="B788" t="s">
        <v>3306</v>
      </c>
      <c r="C788" t="s">
        <v>71</v>
      </c>
      <c r="D788" t="s">
        <v>289</v>
      </c>
      <c r="E788" t="s">
        <v>73</v>
      </c>
      <c r="F788" t="s">
        <v>74</v>
      </c>
      <c r="G788">
        <v>242200</v>
      </c>
      <c r="H788" t="s">
        <v>74</v>
      </c>
      <c r="I788" t="s">
        <v>75</v>
      </c>
      <c r="J788" t="s">
        <v>74</v>
      </c>
      <c r="K788" t="s">
        <v>3307</v>
      </c>
      <c r="L788" t="s">
        <v>77</v>
      </c>
      <c r="M788" t="s">
        <v>78</v>
      </c>
      <c r="N788" t="s">
        <v>1730</v>
      </c>
      <c r="O788" t="s">
        <v>3308</v>
      </c>
      <c r="P788" t="s">
        <v>3198</v>
      </c>
      <c r="X788">
        <v>12</v>
      </c>
      <c r="AF788" t="s">
        <v>379</v>
      </c>
      <c r="AG788" t="s">
        <v>296</v>
      </c>
      <c r="AH788" t="s">
        <v>379</v>
      </c>
      <c r="AJ788">
        <v>0</v>
      </c>
      <c r="AK788">
        <v>0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1.8</v>
      </c>
      <c r="AT788">
        <v>0</v>
      </c>
      <c r="AU788">
        <v>0</v>
      </c>
      <c r="AV788">
        <v>0</v>
      </c>
      <c r="AW788">
        <v>0</v>
      </c>
      <c r="AX788">
        <v>0</v>
      </c>
      <c r="AY788">
        <v>0</v>
      </c>
      <c r="AZ788">
        <v>0</v>
      </c>
      <c r="BA788">
        <v>0</v>
      </c>
      <c r="BB788">
        <v>0</v>
      </c>
      <c r="BC788">
        <v>0</v>
      </c>
      <c r="BD788">
        <v>554.28</v>
      </c>
      <c r="BE788">
        <v>0</v>
      </c>
      <c r="BF788">
        <v>480</v>
      </c>
      <c r="BG788">
        <v>0</v>
      </c>
      <c r="BH788">
        <v>0</v>
      </c>
      <c r="BI788">
        <v>96</v>
      </c>
      <c r="BJ788">
        <v>0</v>
      </c>
      <c r="BK788">
        <v>0</v>
      </c>
      <c r="BL788">
        <v>0</v>
      </c>
      <c r="BM788">
        <v>0</v>
      </c>
      <c r="BN788">
        <v>1132.08</v>
      </c>
      <c r="BO788">
        <v>181.13</v>
      </c>
      <c r="BP788">
        <v>45.28</v>
      </c>
      <c r="BQ788">
        <f t="shared" si="12"/>
        <v>1267.93</v>
      </c>
      <c r="BR788" t="s">
        <v>1732</v>
      </c>
    </row>
    <row r="789" spans="1:70">
      <c r="A789" t="s">
        <v>3309</v>
      </c>
      <c r="B789" t="s">
        <v>3310</v>
      </c>
      <c r="C789" t="s">
        <v>71</v>
      </c>
      <c r="D789" t="s">
        <v>289</v>
      </c>
      <c r="E789" t="s">
        <v>73</v>
      </c>
      <c r="F789" t="s">
        <v>74</v>
      </c>
      <c r="G789" t="s">
        <v>3311</v>
      </c>
      <c r="H789" t="s">
        <v>74</v>
      </c>
      <c r="I789" t="s">
        <v>75</v>
      </c>
      <c r="J789" t="s">
        <v>74</v>
      </c>
      <c r="K789" t="s">
        <v>3312</v>
      </c>
      <c r="L789" t="s">
        <v>77</v>
      </c>
      <c r="M789" t="s">
        <v>78</v>
      </c>
      <c r="N789" t="s">
        <v>653</v>
      </c>
      <c r="O789" t="s">
        <v>654</v>
      </c>
      <c r="P789" t="s">
        <v>3198</v>
      </c>
      <c r="X789">
        <v>11</v>
      </c>
      <c r="AF789" t="s">
        <v>470</v>
      </c>
      <c r="AG789" t="s">
        <v>296</v>
      </c>
      <c r="AH789" t="s">
        <v>470</v>
      </c>
      <c r="AJ789">
        <v>0</v>
      </c>
      <c r="AK789">
        <v>0</v>
      </c>
      <c r="AL789">
        <v>0</v>
      </c>
      <c r="AM789">
        <v>0</v>
      </c>
      <c r="AN789">
        <v>0</v>
      </c>
      <c r="AO789">
        <v>0</v>
      </c>
      <c r="AP789">
        <v>0</v>
      </c>
      <c r="AQ789">
        <v>0</v>
      </c>
      <c r="AR789">
        <v>0</v>
      </c>
      <c r="AS789">
        <v>1.65</v>
      </c>
      <c r="AT789">
        <v>0</v>
      </c>
      <c r="AU789">
        <v>0</v>
      </c>
      <c r="AV789">
        <v>0</v>
      </c>
      <c r="AW789">
        <v>0</v>
      </c>
      <c r="AX789">
        <v>0</v>
      </c>
      <c r="AY789">
        <v>0</v>
      </c>
      <c r="AZ789">
        <v>0</v>
      </c>
      <c r="BA789">
        <v>0</v>
      </c>
      <c r="BB789">
        <v>0</v>
      </c>
      <c r="BC789">
        <v>0</v>
      </c>
      <c r="BD789">
        <v>169.95</v>
      </c>
      <c r="BE789">
        <v>0</v>
      </c>
      <c r="BF789">
        <v>440</v>
      </c>
      <c r="BG789">
        <v>0</v>
      </c>
      <c r="BH789">
        <v>0</v>
      </c>
      <c r="BI789">
        <v>88</v>
      </c>
      <c r="BJ789">
        <v>0</v>
      </c>
      <c r="BK789">
        <v>0</v>
      </c>
      <c r="BL789">
        <v>0</v>
      </c>
      <c r="BM789">
        <v>0</v>
      </c>
      <c r="BN789">
        <v>699.6</v>
      </c>
      <c r="BO789">
        <v>111.93</v>
      </c>
      <c r="BP789">
        <v>27.99</v>
      </c>
      <c r="BQ789">
        <f t="shared" si="12"/>
        <v>783.54</v>
      </c>
      <c r="BR789" t="s">
        <v>119</v>
      </c>
    </row>
    <row r="790" spans="1:70">
      <c r="A790" t="s">
        <v>3313</v>
      </c>
      <c r="B790" t="s">
        <v>3314</v>
      </c>
      <c r="C790" t="s">
        <v>71</v>
      </c>
      <c r="D790" t="s">
        <v>289</v>
      </c>
      <c r="E790" t="s">
        <v>73</v>
      </c>
      <c r="F790" t="s">
        <v>74</v>
      </c>
      <c r="G790" t="s">
        <v>3315</v>
      </c>
      <c r="H790" t="s">
        <v>74</v>
      </c>
      <c r="I790" t="s">
        <v>75</v>
      </c>
      <c r="J790" t="s">
        <v>74</v>
      </c>
      <c r="K790" t="s">
        <v>3316</v>
      </c>
      <c r="L790" t="s">
        <v>77</v>
      </c>
      <c r="M790" t="s">
        <v>78</v>
      </c>
      <c r="N790" t="s">
        <v>161</v>
      </c>
      <c r="O790" t="s">
        <v>1825</v>
      </c>
      <c r="P790" t="s">
        <v>3198</v>
      </c>
      <c r="T790">
        <v>1</v>
      </c>
      <c r="AF790" t="s">
        <v>823</v>
      </c>
      <c r="AG790" t="s">
        <v>296</v>
      </c>
      <c r="AH790" t="s">
        <v>823</v>
      </c>
      <c r="AJ790">
        <v>0</v>
      </c>
      <c r="AK790">
        <v>0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36.46</v>
      </c>
      <c r="AT790">
        <v>0</v>
      </c>
      <c r="AU790">
        <v>0</v>
      </c>
      <c r="AV790">
        <v>0</v>
      </c>
      <c r="AW790">
        <v>0</v>
      </c>
      <c r="AX790">
        <v>0</v>
      </c>
      <c r="AY790">
        <v>0</v>
      </c>
      <c r="AZ790">
        <v>0</v>
      </c>
      <c r="BA790">
        <v>0</v>
      </c>
      <c r="BB790">
        <v>0</v>
      </c>
      <c r="BC790">
        <v>0</v>
      </c>
      <c r="BD790">
        <v>1071.1300000000001</v>
      </c>
      <c r="BE790">
        <v>0</v>
      </c>
      <c r="BF790">
        <v>458.08</v>
      </c>
      <c r="BG790">
        <v>0</v>
      </c>
      <c r="BH790">
        <v>0</v>
      </c>
      <c r="BI790">
        <v>421.62</v>
      </c>
      <c r="BJ790">
        <v>0</v>
      </c>
      <c r="BK790">
        <v>0</v>
      </c>
      <c r="BL790">
        <v>0</v>
      </c>
      <c r="BM790">
        <v>0</v>
      </c>
      <c r="BN790">
        <v>1987.29</v>
      </c>
      <c r="BO790">
        <v>317.95999999999998</v>
      </c>
      <c r="BP790">
        <v>79.489999999999995</v>
      </c>
      <c r="BQ790">
        <f t="shared" si="12"/>
        <v>2225.7600000000002</v>
      </c>
      <c r="BR790" t="s">
        <v>83</v>
      </c>
    </row>
    <row r="791" spans="1:70">
      <c r="A791" t="s">
        <v>3317</v>
      </c>
      <c r="B791" t="s">
        <v>3318</v>
      </c>
      <c r="C791" t="s">
        <v>71</v>
      </c>
      <c r="D791" t="s">
        <v>289</v>
      </c>
      <c r="E791" t="s">
        <v>73</v>
      </c>
      <c r="F791" t="s">
        <v>74</v>
      </c>
      <c r="G791">
        <v>242278</v>
      </c>
      <c r="H791" t="s">
        <v>74</v>
      </c>
      <c r="I791" t="s">
        <v>75</v>
      </c>
      <c r="J791" t="s">
        <v>74</v>
      </c>
      <c r="K791" t="s">
        <v>3319</v>
      </c>
      <c r="L791" t="s">
        <v>77</v>
      </c>
      <c r="M791" t="s">
        <v>78</v>
      </c>
      <c r="N791" t="s">
        <v>258</v>
      </c>
      <c r="O791" t="s">
        <v>259</v>
      </c>
      <c r="P791" t="s">
        <v>3198</v>
      </c>
      <c r="AD791">
        <v>4</v>
      </c>
      <c r="AF791" t="s">
        <v>326</v>
      </c>
      <c r="AG791" t="s">
        <v>296</v>
      </c>
      <c r="AH791" t="s">
        <v>326</v>
      </c>
      <c r="AJ791">
        <v>0</v>
      </c>
      <c r="AK791">
        <v>0</v>
      </c>
      <c r="AL791">
        <v>0</v>
      </c>
      <c r="AM791">
        <v>0</v>
      </c>
      <c r="AN791">
        <v>0</v>
      </c>
      <c r="AO791">
        <v>0</v>
      </c>
      <c r="AP791">
        <v>0</v>
      </c>
      <c r="AQ791">
        <v>0</v>
      </c>
      <c r="AR791">
        <v>0</v>
      </c>
      <c r="AS791">
        <v>0.6</v>
      </c>
      <c r="AT791">
        <v>0</v>
      </c>
      <c r="AU791">
        <v>0</v>
      </c>
      <c r="AV791">
        <v>0</v>
      </c>
      <c r="AW791">
        <v>0</v>
      </c>
      <c r="AX791">
        <v>0</v>
      </c>
      <c r="AY791">
        <v>0</v>
      </c>
      <c r="AZ791">
        <v>0</v>
      </c>
      <c r="BA791">
        <v>0</v>
      </c>
      <c r="BB791">
        <v>0</v>
      </c>
      <c r="BC791">
        <v>0</v>
      </c>
      <c r="BD791">
        <v>279.12</v>
      </c>
      <c r="BE791">
        <v>0</v>
      </c>
      <c r="BF791">
        <v>160</v>
      </c>
      <c r="BG791">
        <v>0</v>
      </c>
      <c r="BH791">
        <v>0</v>
      </c>
      <c r="BI791">
        <v>32</v>
      </c>
      <c r="BJ791">
        <v>0</v>
      </c>
      <c r="BK791">
        <v>0</v>
      </c>
      <c r="BL791">
        <v>0</v>
      </c>
      <c r="BM791">
        <v>0</v>
      </c>
      <c r="BN791">
        <v>471.72</v>
      </c>
      <c r="BO791">
        <v>75.48</v>
      </c>
      <c r="BP791">
        <v>18.86</v>
      </c>
      <c r="BQ791">
        <f t="shared" si="12"/>
        <v>528.34</v>
      </c>
      <c r="BR791" t="s">
        <v>258</v>
      </c>
    </row>
    <row r="792" spans="1:70">
      <c r="A792" t="s">
        <v>3320</v>
      </c>
      <c r="B792" t="s">
        <v>3321</v>
      </c>
      <c r="C792" t="s">
        <v>71</v>
      </c>
      <c r="D792" t="s">
        <v>289</v>
      </c>
      <c r="E792" t="s">
        <v>73</v>
      </c>
      <c r="F792" t="s">
        <v>74</v>
      </c>
      <c r="G792">
        <v>15</v>
      </c>
      <c r="H792" t="s">
        <v>3322</v>
      </c>
      <c r="I792" t="s">
        <v>75</v>
      </c>
      <c r="J792" t="s">
        <v>74</v>
      </c>
      <c r="K792" t="s">
        <v>3089</v>
      </c>
      <c r="L792" t="s">
        <v>77</v>
      </c>
      <c r="M792" t="s">
        <v>78</v>
      </c>
      <c r="N792" t="s">
        <v>3323</v>
      </c>
      <c r="O792" t="s">
        <v>3324</v>
      </c>
      <c r="P792" t="s">
        <v>3198</v>
      </c>
      <c r="V792">
        <v>1</v>
      </c>
      <c r="AF792" t="s">
        <v>295</v>
      </c>
      <c r="AG792" t="s">
        <v>296</v>
      </c>
      <c r="AH792" t="s">
        <v>295</v>
      </c>
      <c r="AJ792">
        <v>0</v>
      </c>
      <c r="AK792">
        <v>0</v>
      </c>
      <c r="AL792">
        <v>0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0.15</v>
      </c>
      <c r="AT792">
        <v>0</v>
      </c>
      <c r="AU792">
        <v>0</v>
      </c>
      <c r="AV792">
        <v>0</v>
      </c>
      <c r="AW792">
        <v>0</v>
      </c>
      <c r="AX792">
        <v>0</v>
      </c>
      <c r="AY792">
        <v>0</v>
      </c>
      <c r="AZ792">
        <v>0</v>
      </c>
      <c r="BA792">
        <v>0</v>
      </c>
      <c r="BB792">
        <v>0</v>
      </c>
      <c r="BC792">
        <v>0</v>
      </c>
      <c r="BD792">
        <v>423.55</v>
      </c>
      <c r="BE792">
        <v>0</v>
      </c>
      <c r="BF792">
        <v>40</v>
      </c>
      <c r="BG792">
        <v>0</v>
      </c>
      <c r="BH792">
        <v>0</v>
      </c>
      <c r="BI792">
        <v>8</v>
      </c>
      <c r="BJ792">
        <v>0</v>
      </c>
      <c r="BK792">
        <v>0</v>
      </c>
      <c r="BL792">
        <v>0</v>
      </c>
      <c r="BM792">
        <v>0</v>
      </c>
      <c r="BN792">
        <v>471.7</v>
      </c>
      <c r="BO792">
        <v>75.47</v>
      </c>
      <c r="BP792">
        <v>18.87</v>
      </c>
      <c r="BQ792">
        <f t="shared" si="12"/>
        <v>528.29999999999995</v>
      </c>
      <c r="BR792" t="s">
        <v>476</v>
      </c>
    </row>
    <row r="793" spans="1:70">
      <c r="A793" t="s">
        <v>3325</v>
      </c>
      <c r="B793" t="s">
        <v>3326</v>
      </c>
      <c r="C793" t="s">
        <v>71</v>
      </c>
      <c r="D793" t="s">
        <v>289</v>
      </c>
      <c r="E793" t="s">
        <v>73</v>
      </c>
      <c r="F793" t="s">
        <v>74</v>
      </c>
      <c r="G793" t="s">
        <v>3327</v>
      </c>
      <c r="H793" t="s">
        <v>74</v>
      </c>
      <c r="I793" t="s">
        <v>75</v>
      </c>
      <c r="J793" t="s">
        <v>74</v>
      </c>
      <c r="K793" t="s">
        <v>3328</v>
      </c>
      <c r="L793" t="s">
        <v>77</v>
      </c>
      <c r="M793" t="s">
        <v>78</v>
      </c>
      <c r="N793" t="s">
        <v>191</v>
      </c>
      <c r="O793" t="s">
        <v>511</v>
      </c>
      <c r="P793" t="s">
        <v>3329</v>
      </c>
      <c r="T793">
        <v>1</v>
      </c>
      <c r="AF793" t="s">
        <v>823</v>
      </c>
      <c r="AG793" t="s">
        <v>296</v>
      </c>
      <c r="AH793" t="s">
        <v>823</v>
      </c>
      <c r="AJ793">
        <v>0</v>
      </c>
      <c r="AK793">
        <v>0</v>
      </c>
      <c r="AL793">
        <v>0</v>
      </c>
      <c r="AM793">
        <v>0</v>
      </c>
      <c r="AN793">
        <v>0</v>
      </c>
      <c r="AO793">
        <v>0</v>
      </c>
      <c r="AP793">
        <v>0</v>
      </c>
      <c r="AQ793">
        <v>0</v>
      </c>
      <c r="AR793">
        <v>0</v>
      </c>
      <c r="AS793">
        <v>36.46</v>
      </c>
      <c r="AT793">
        <v>0</v>
      </c>
      <c r="AU793">
        <v>0</v>
      </c>
      <c r="AV793">
        <v>0</v>
      </c>
      <c r="AW793">
        <v>0</v>
      </c>
      <c r="AX793">
        <v>0</v>
      </c>
      <c r="AY793">
        <v>0</v>
      </c>
      <c r="AZ793">
        <v>0</v>
      </c>
      <c r="BA793">
        <v>0</v>
      </c>
      <c r="BB793">
        <v>0</v>
      </c>
      <c r="BC793">
        <v>0</v>
      </c>
      <c r="BD793">
        <v>3209.98</v>
      </c>
      <c r="BE793">
        <v>0</v>
      </c>
      <c r="BF793">
        <v>458.08</v>
      </c>
      <c r="BG793">
        <v>0</v>
      </c>
      <c r="BH793">
        <v>0</v>
      </c>
      <c r="BI793">
        <v>421.62</v>
      </c>
      <c r="BJ793">
        <v>0</v>
      </c>
      <c r="BK793">
        <v>0</v>
      </c>
      <c r="BL793">
        <v>0</v>
      </c>
      <c r="BM793">
        <v>0</v>
      </c>
      <c r="BN793">
        <v>4126.1400000000003</v>
      </c>
      <c r="BO793">
        <v>660.18</v>
      </c>
      <c r="BP793">
        <v>165.04</v>
      </c>
      <c r="BQ793">
        <f t="shared" si="12"/>
        <v>4621.2800000000007</v>
      </c>
      <c r="BR793" t="s">
        <v>195</v>
      </c>
    </row>
    <row r="794" spans="1:70">
      <c r="A794" t="s">
        <v>3330</v>
      </c>
      <c r="B794" t="s">
        <v>3331</v>
      </c>
      <c r="C794" t="s">
        <v>71</v>
      </c>
      <c r="D794" t="s">
        <v>289</v>
      </c>
      <c r="E794" t="s">
        <v>73</v>
      </c>
      <c r="F794" t="s">
        <v>74</v>
      </c>
      <c r="G794" t="s">
        <v>3332</v>
      </c>
      <c r="H794" t="s">
        <v>74</v>
      </c>
      <c r="I794" t="s">
        <v>75</v>
      </c>
      <c r="J794" t="s">
        <v>74</v>
      </c>
      <c r="K794" t="s">
        <v>3333</v>
      </c>
      <c r="L794" t="s">
        <v>77</v>
      </c>
      <c r="M794" t="s">
        <v>78</v>
      </c>
      <c r="N794" t="s">
        <v>558</v>
      </c>
      <c r="O794" t="s">
        <v>1005</v>
      </c>
      <c r="P794" t="s">
        <v>3329</v>
      </c>
      <c r="T794">
        <v>7</v>
      </c>
      <c r="AF794" t="s">
        <v>3334</v>
      </c>
      <c r="AG794" t="s">
        <v>296</v>
      </c>
      <c r="AH794" t="s">
        <v>3334</v>
      </c>
      <c r="AJ794">
        <v>0</v>
      </c>
      <c r="AK794">
        <v>0</v>
      </c>
      <c r="AL794">
        <v>0</v>
      </c>
      <c r="AM794">
        <v>0</v>
      </c>
      <c r="AN794">
        <v>0</v>
      </c>
      <c r="AO794">
        <v>0</v>
      </c>
      <c r="AP794">
        <v>0</v>
      </c>
      <c r="AQ794">
        <v>0</v>
      </c>
      <c r="AR794">
        <v>0</v>
      </c>
      <c r="AS794">
        <v>255.22</v>
      </c>
      <c r="AT794">
        <v>0</v>
      </c>
      <c r="AU794">
        <v>0</v>
      </c>
      <c r="AV794">
        <v>0</v>
      </c>
      <c r="AW794">
        <v>0</v>
      </c>
      <c r="AX794">
        <v>0</v>
      </c>
      <c r="AY794">
        <v>0</v>
      </c>
      <c r="AZ794">
        <v>0</v>
      </c>
      <c r="BA794">
        <v>0</v>
      </c>
      <c r="BB794">
        <v>0</v>
      </c>
      <c r="BC794">
        <v>0</v>
      </c>
      <c r="BD794">
        <v>16056.74</v>
      </c>
      <c r="BE794">
        <v>0</v>
      </c>
      <c r="BF794">
        <v>3206.56</v>
      </c>
      <c r="BG794">
        <v>0</v>
      </c>
      <c r="BH794">
        <v>0</v>
      </c>
      <c r="BI794">
        <v>2951.34</v>
      </c>
      <c r="BJ794">
        <v>0</v>
      </c>
      <c r="BK794">
        <v>0</v>
      </c>
      <c r="BL794">
        <v>0</v>
      </c>
      <c r="BM794">
        <v>0</v>
      </c>
      <c r="BN794">
        <v>22469.86</v>
      </c>
      <c r="BO794">
        <v>3595.18</v>
      </c>
      <c r="BP794">
        <v>898.79</v>
      </c>
      <c r="BQ794">
        <f t="shared" si="12"/>
        <v>25166.25</v>
      </c>
      <c r="BR794" t="s">
        <v>560</v>
      </c>
    </row>
    <row r="795" spans="1:70">
      <c r="A795" t="s">
        <v>3335</v>
      </c>
      <c r="B795" t="s">
        <v>3336</v>
      </c>
      <c r="C795" t="s">
        <v>71</v>
      </c>
      <c r="D795" t="s">
        <v>289</v>
      </c>
      <c r="E795" t="s">
        <v>73</v>
      </c>
      <c r="F795" t="s">
        <v>74</v>
      </c>
      <c r="G795">
        <v>242213</v>
      </c>
      <c r="H795" t="s">
        <v>74</v>
      </c>
      <c r="I795" t="s">
        <v>75</v>
      </c>
      <c r="J795" t="s">
        <v>74</v>
      </c>
      <c r="K795" t="s">
        <v>3337</v>
      </c>
      <c r="L795" t="s">
        <v>77</v>
      </c>
      <c r="M795" t="s">
        <v>78</v>
      </c>
      <c r="N795" t="s">
        <v>137</v>
      </c>
      <c r="O795" t="s">
        <v>1441</v>
      </c>
      <c r="P795" t="s">
        <v>3329</v>
      </c>
      <c r="X795">
        <v>26</v>
      </c>
      <c r="AF795" t="s">
        <v>920</v>
      </c>
      <c r="AG795" t="s">
        <v>296</v>
      </c>
      <c r="AH795" t="s">
        <v>920</v>
      </c>
      <c r="AJ795">
        <v>0</v>
      </c>
      <c r="AK795">
        <v>0</v>
      </c>
      <c r="AL795">
        <v>0</v>
      </c>
      <c r="AM795">
        <v>0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3.9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0</v>
      </c>
      <c r="AZ795">
        <v>0</v>
      </c>
      <c r="BA795">
        <v>0</v>
      </c>
      <c r="BB795">
        <v>0</v>
      </c>
      <c r="BC795">
        <v>0</v>
      </c>
      <c r="BD795">
        <v>1200.94</v>
      </c>
      <c r="BE795">
        <v>0</v>
      </c>
      <c r="BF795">
        <v>1040</v>
      </c>
      <c r="BG795">
        <v>0</v>
      </c>
      <c r="BH795">
        <v>0</v>
      </c>
      <c r="BI795">
        <v>208</v>
      </c>
      <c r="BJ795">
        <v>0</v>
      </c>
      <c r="BK795">
        <v>0</v>
      </c>
      <c r="BL795">
        <v>0</v>
      </c>
      <c r="BM795">
        <v>0</v>
      </c>
      <c r="BN795">
        <v>2452.84</v>
      </c>
      <c r="BO795">
        <v>392.45</v>
      </c>
      <c r="BP795">
        <v>98.12</v>
      </c>
      <c r="BQ795">
        <f t="shared" si="12"/>
        <v>2747.17</v>
      </c>
      <c r="BR795" t="s">
        <v>141</v>
      </c>
    </row>
    <row r="796" spans="1:70">
      <c r="A796" t="s">
        <v>3338</v>
      </c>
      <c r="B796" t="s">
        <v>3339</v>
      </c>
      <c r="C796" t="s">
        <v>71</v>
      </c>
      <c r="D796" t="s">
        <v>289</v>
      </c>
      <c r="E796" t="s">
        <v>73</v>
      </c>
      <c r="F796" t="s">
        <v>74</v>
      </c>
      <c r="G796" t="s">
        <v>3340</v>
      </c>
      <c r="H796" t="s">
        <v>74</v>
      </c>
      <c r="I796" t="s">
        <v>75</v>
      </c>
      <c r="J796" t="s">
        <v>74</v>
      </c>
      <c r="K796" t="s">
        <v>3341</v>
      </c>
      <c r="L796" t="s">
        <v>77</v>
      </c>
      <c r="M796" t="s">
        <v>78</v>
      </c>
      <c r="N796" t="s">
        <v>404</v>
      </c>
      <c r="O796" t="s">
        <v>3342</v>
      </c>
      <c r="P796" t="s">
        <v>3329</v>
      </c>
      <c r="X796">
        <v>6</v>
      </c>
      <c r="AF796" t="s">
        <v>400</v>
      </c>
      <c r="AG796" t="s">
        <v>296</v>
      </c>
      <c r="AH796" t="s">
        <v>400</v>
      </c>
      <c r="AJ796">
        <v>0</v>
      </c>
      <c r="AK796">
        <v>0</v>
      </c>
      <c r="AL796">
        <v>0</v>
      </c>
      <c r="AM796">
        <v>0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0.9</v>
      </c>
      <c r="AT796">
        <v>0</v>
      </c>
      <c r="AU796">
        <v>0</v>
      </c>
      <c r="AV796">
        <v>0</v>
      </c>
      <c r="AW796">
        <v>0</v>
      </c>
      <c r="AX796">
        <v>0</v>
      </c>
      <c r="AY796">
        <v>0</v>
      </c>
      <c r="AZ796">
        <v>0</v>
      </c>
      <c r="BA796">
        <v>0</v>
      </c>
      <c r="BB796">
        <v>0</v>
      </c>
      <c r="BC796">
        <v>0</v>
      </c>
      <c r="BD796">
        <v>92.7</v>
      </c>
      <c r="BE796">
        <v>0</v>
      </c>
      <c r="BF796">
        <v>240</v>
      </c>
      <c r="BG796">
        <v>0</v>
      </c>
      <c r="BH796">
        <v>0</v>
      </c>
      <c r="BI796">
        <v>48</v>
      </c>
      <c r="BJ796">
        <v>0</v>
      </c>
      <c r="BK796">
        <v>0</v>
      </c>
      <c r="BL796">
        <v>0</v>
      </c>
      <c r="BM796">
        <v>0</v>
      </c>
      <c r="BN796">
        <v>381.6</v>
      </c>
      <c r="BO796">
        <v>61.05</v>
      </c>
      <c r="BP796">
        <v>15.27</v>
      </c>
      <c r="BQ796">
        <f t="shared" si="12"/>
        <v>427.38000000000005</v>
      </c>
      <c r="BR796" t="s">
        <v>406</v>
      </c>
    </row>
    <row r="797" spans="1:70">
      <c r="A797" t="s">
        <v>3343</v>
      </c>
      <c r="B797" t="s">
        <v>3344</v>
      </c>
      <c r="C797" t="s">
        <v>71</v>
      </c>
      <c r="D797" t="s">
        <v>289</v>
      </c>
      <c r="E797" t="s">
        <v>73</v>
      </c>
      <c r="F797" t="s">
        <v>74</v>
      </c>
      <c r="G797">
        <v>242350</v>
      </c>
      <c r="H797" t="s">
        <v>74</v>
      </c>
      <c r="I797" t="s">
        <v>75</v>
      </c>
      <c r="J797" t="s">
        <v>74</v>
      </c>
      <c r="K797" t="s">
        <v>3345</v>
      </c>
      <c r="L797" t="s">
        <v>77</v>
      </c>
      <c r="M797" t="s">
        <v>78</v>
      </c>
      <c r="N797" t="s">
        <v>79</v>
      </c>
      <c r="O797" t="s">
        <v>80</v>
      </c>
      <c r="P797" t="s">
        <v>3329</v>
      </c>
      <c r="X797">
        <v>11</v>
      </c>
      <c r="AF797" t="s">
        <v>470</v>
      </c>
      <c r="AG797" t="s">
        <v>296</v>
      </c>
      <c r="AH797" t="s">
        <v>470</v>
      </c>
      <c r="AJ797">
        <v>0</v>
      </c>
      <c r="AK797">
        <v>0</v>
      </c>
      <c r="AL797">
        <v>0</v>
      </c>
      <c r="AM797">
        <v>0</v>
      </c>
      <c r="AN797">
        <v>0</v>
      </c>
      <c r="AO797">
        <v>0</v>
      </c>
      <c r="AP797">
        <v>0</v>
      </c>
      <c r="AQ797">
        <v>0</v>
      </c>
      <c r="AR797">
        <v>0</v>
      </c>
      <c r="AS797">
        <v>1.65</v>
      </c>
      <c r="AT797">
        <v>0</v>
      </c>
      <c r="AU797">
        <v>0</v>
      </c>
      <c r="AV797">
        <v>0</v>
      </c>
      <c r="AW797">
        <v>0</v>
      </c>
      <c r="AX797">
        <v>0</v>
      </c>
      <c r="AY797">
        <v>0</v>
      </c>
      <c r="AZ797">
        <v>0</v>
      </c>
      <c r="BA797">
        <v>0</v>
      </c>
      <c r="BB797">
        <v>0</v>
      </c>
      <c r="BC797">
        <v>0</v>
      </c>
      <c r="BD797">
        <v>169.95</v>
      </c>
      <c r="BE797">
        <v>0</v>
      </c>
      <c r="BF797">
        <v>440</v>
      </c>
      <c r="BG797">
        <v>0</v>
      </c>
      <c r="BH797">
        <v>0</v>
      </c>
      <c r="BI797">
        <v>88</v>
      </c>
      <c r="BJ797">
        <v>0</v>
      </c>
      <c r="BK797">
        <v>0</v>
      </c>
      <c r="BL797">
        <v>0</v>
      </c>
      <c r="BM797">
        <v>0</v>
      </c>
      <c r="BN797">
        <v>699.6</v>
      </c>
      <c r="BO797">
        <v>111.93</v>
      </c>
      <c r="BP797">
        <v>27.99</v>
      </c>
      <c r="BQ797">
        <f t="shared" si="12"/>
        <v>783.54</v>
      </c>
      <c r="BR797" t="s">
        <v>83</v>
      </c>
    </row>
    <row r="798" spans="1:70">
      <c r="A798" t="s">
        <v>3346</v>
      </c>
      <c r="B798" t="s">
        <v>3347</v>
      </c>
      <c r="C798" t="s">
        <v>71</v>
      </c>
      <c r="D798" t="s">
        <v>289</v>
      </c>
      <c r="E798" t="s">
        <v>73</v>
      </c>
      <c r="F798" t="s">
        <v>74</v>
      </c>
      <c r="G798">
        <v>242360</v>
      </c>
      <c r="H798" t="s">
        <v>74</v>
      </c>
      <c r="I798" t="s">
        <v>75</v>
      </c>
      <c r="J798" t="s">
        <v>74</v>
      </c>
      <c r="K798" t="s">
        <v>3348</v>
      </c>
      <c r="L798" t="s">
        <v>77</v>
      </c>
      <c r="M798" t="s">
        <v>78</v>
      </c>
      <c r="N798" t="s">
        <v>358</v>
      </c>
      <c r="O798" t="s">
        <v>359</v>
      </c>
      <c r="P798" t="s">
        <v>3329</v>
      </c>
      <c r="AB798">
        <v>3</v>
      </c>
      <c r="AF798" t="s">
        <v>314</v>
      </c>
      <c r="AG798" t="s">
        <v>296</v>
      </c>
      <c r="AH798" t="s">
        <v>314</v>
      </c>
      <c r="AJ798">
        <v>0</v>
      </c>
      <c r="AK798">
        <v>0</v>
      </c>
      <c r="AL798">
        <v>0</v>
      </c>
      <c r="AM798">
        <v>0</v>
      </c>
      <c r="AN798">
        <v>0</v>
      </c>
      <c r="AO798">
        <v>0</v>
      </c>
      <c r="AP798">
        <v>0</v>
      </c>
      <c r="AQ798">
        <v>0</v>
      </c>
      <c r="AR798">
        <v>0</v>
      </c>
      <c r="AS798">
        <v>0.45</v>
      </c>
      <c r="AT798">
        <v>0</v>
      </c>
      <c r="AU798">
        <v>0</v>
      </c>
      <c r="AV798">
        <v>0</v>
      </c>
      <c r="AW798">
        <v>0</v>
      </c>
      <c r="AX798">
        <v>0</v>
      </c>
      <c r="AY798">
        <v>0</v>
      </c>
      <c r="AZ798">
        <v>0</v>
      </c>
      <c r="BA798">
        <v>0</v>
      </c>
      <c r="BB798">
        <v>0</v>
      </c>
      <c r="BC798">
        <v>0</v>
      </c>
      <c r="BD798">
        <v>327.24</v>
      </c>
      <c r="BE798">
        <v>0</v>
      </c>
      <c r="BF798">
        <v>120</v>
      </c>
      <c r="BG798">
        <v>0</v>
      </c>
      <c r="BH798">
        <v>0</v>
      </c>
      <c r="BI798">
        <v>24</v>
      </c>
      <c r="BJ798">
        <v>0</v>
      </c>
      <c r="BK798">
        <v>0</v>
      </c>
      <c r="BL798">
        <v>0</v>
      </c>
      <c r="BM798">
        <v>0</v>
      </c>
      <c r="BN798">
        <v>471.69</v>
      </c>
      <c r="BO798">
        <v>75.47</v>
      </c>
      <c r="BP798">
        <v>18.87</v>
      </c>
      <c r="BQ798">
        <f t="shared" si="12"/>
        <v>528.29</v>
      </c>
      <c r="BR798" t="s">
        <v>358</v>
      </c>
    </row>
    <row r="799" spans="1:70">
      <c r="A799" t="s">
        <v>3349</v>
      </c>
      <c r="B799" t="s">
        <v>3350</v>
      </c>
      <c r="C799" t="s">
        <v>71</v>
      </c>
      <c r="D799" t="s">
        <v>289</v>
      </c>
      <c r="E799" t="s">
        <v>73</v>
      </c>
      <c r="F799" t="s">
        <v>74</v>
      </c>
      <c r="G799">
        <v>242364</v>
      </c>
      <c r="H799" t="s">
        <v>74</v>
      </c>
      <c r="I799" t="s">
        <v>75</v>
      </c>
      <c r="J799" t="s">
        <v>74</v>
      </c>
      <c r="K799" t="s">
        <v>3351</v>
      </c>
      <c r="L799" t="s">
        <v>77</v>
      </c>
      <c r="M799" t="s">
        <v>78</v>
      </c>
      <c r="N799" t="s">
        <v>324</v>
      </c>
      <c r="O799" t="s">
        <v>1709</v>
      </c>
      <c r="P799" t="s">
        <v>3329</v>
      </c>
      <c r="X799">
        <v>14</v>
      </c>
      <c r="AF799" t="s">
        <v>413</v>
      </c>
      <c r="AG799" t="s">
        <v>296</v>
      </c>
      <c r="AH799" t="s">
        <v>413</v>
      </c>
      <c r="AJ799">
        <v>0</v>
      </c>
      <c r="AK799">
        <v>0</v>
      </c>
      <c r="AL799">
        <v>0</v>
      </c>
      <c r="AM799">
        <v>0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2.1</v>
      </c>
      <c r="AT799">
        <v>0</v>
      </c>
      <c r="AU799">
        <v>0</v>
      </c>
      <c r="AV799">
        <v>368.06</v>
      </c>
      <c r="AW799">
        <v>0</v>
      </c>
      <c r="AX799">
        <v>0</v>
      </c>
      <c r="AY799">
        <v>0</v>
      </c>
      <c r="AZ799">
        <v>0</v>
      </c>
      <c r="BA799">
        <v>0</v>
      </c>
      <c r="BB799">
        <v>0</v>
      </c>
      <c r="BC799">
        <v>0</v>
      </c>
      <c r="BD799">
        <v>646.66</v>
      </c>
      <c r="BE799">
        <v>0</v>
      </c>
      <c r="BF799">
        <v>560</v>
      </c>
      <c r="BG799">
        <v>0</v>
      </c>
      <c r="BH799">
        <v>0</v>
      </c>
      <c r="BI799">
        <v>112</v>
      </c>
      <c r="BJ799">
        <v>0</v>
      </c>
      <c r="BK799">
        <v>0</v>
      </c>
      <c r="BL799">
        <v>0</v>
      </c>
      <c r="BM799">
        <v>0</v>
      </c>
      <c r="BN799">
        <v>1688.82</v>
      </c>
      <c r="BO799">
        <v>270.22000000000003</v>
      </c>
      <c r="BP799">
        <v>52.83</v>
      </c>
      <c r="BQ799">
        <f t="shared" si="12"/>
        <v>1906.21</v>
      </c>
      <c r="BR799" t="s">
        <v>324</v>
      </c>
    </row>
    <row r="800" spans="1:70">
      <c r="A800" t="s">
        <v>3352</v>
      </c>
      <c r="B800" t="s">
        <v>3353</v>
      </c>
      <c r="C800" t="s">
        <v>71</v>
      </c>
      <c r="D800" t="s">
        <v>289</v>
      </c>
      <c r="E800" t="s">
        <v>73</v>
      </c>
      <c r="F800" t="s">
        <v>74</v>
      </c>
      <c r="G800">
        <v>242365</v>
      </c>
      <c r="H800" t="s">
        <v>74</v>
      </c>
      <c r="I800" t="s">
        <v>75</v>
      </c>
      <c r="J800" t="s">
        <v>74</v>
      </c>
      <c r="K800" t="s">
        <v>3354</v>
      </c>
      <c r="L800" t="s">
        <v>77</v>
      </c>
      <c r="M800" t="s">
        <v>78</v>
      </c>
      <c r="N800" t="s">
        <v>438</v>
      </c>
      <c r="O800" t="s">
        <v>1594</v>
      </c>
      <c r="P800" t="s">
        <v>3329</v>
      </c>
      <c r="X800">
        <v>6</v>
      </c>
      <c r="AF800" t="s">
        <v>400</v>
      </c>
      <c r="AG800" t="s">
        <v>296</v>
      </c>
      <c r="AH800" t="s">
        <v>400</v>
      </c>
      <c r="AJ800">
        <v>0</v>
      </c>
      <c r="AK800">
        <v>0</v>
      </c>
      <c r="AL800">
        <v>0</v>
      </c>
      <c r="AM800">
        <v>0</v>
      </c>
      <c r="AN800">
        <v>0</v>
      </c>
      <c r="AO800">
        <v>0</v>
      </c>
      <c r="AP800">
        <v>0</v>
      </c>
      <c r="AQ800">
        <v>0</v>
      </c>
      <c r="AR800">
        <v>0</v>
      </c>
      <c r="AS800">
        <v>0.9</v>
      </c>
      <c r="AT800">
        <v>0</v>
      </c>
      <c r="AU800">
        <v>0</v>
      </c>
      <c r="AV800">
        <v>0</v>
      </c>
      <c r="AW800">
        <v>0</v>
      </c>
      <c r="AX800">
        <v>0</v>
      </c>
      <c r="AY800">
        <v>0</v>
      </c>
      <c r="AZ800">
        <v>0</v>
      </c>
      <c r="BA800">
        <v>0</v>
      </c>
      <c r="BB800">
        <v>0</v>
      </c>
      <c r="BC800">
        <v>0</v>
      </c>
      <c r="BD800">
        <v>92.7</v>
      </c>
      <c r="BE800">
        <v>0</v>
      </c>
      <c r="BF800">
        <v>240</v>
      </c>
      <c r="BG800">
        <v>0</v>
      </c>
      <c r="BH800">
        <v>0</v>
      </c>
      <c r="BI800">
        <v>48</v>
      </c>
      <c r="BJ800">
        <v>0</v>
      </c>
      <c r="BK800">
        <v>0</v>
      </c>
      <c r="BL800">
        <v>0</v>
      </c>
      <c r="BM800">
        <v>0</v>
      </c>
      <c r="BN800">
        <v>381.6</v>
      </c>
      <c r="BO800">
        <v>61.05</v>
      </c>
      <c r="BP800">
        <v>15.27</v>
      </c>
      <c r="BQ800">
        <f t="shared" si="12"/>
        <v>427.38000000000005</v>
      </c>
      <c r="BR800" t="s">
        <v>440</v>
      </c>
    </row>
    <row r="801" spans="1:70">
      <c r="A801" t="s">
        <v>3355</v>
      </c>
      <c r="B801" t="s">
        <v>3356</v>
      </c>
      <c r="C801" t="s">
        <v>71</v>
      </c>
      <c r="D801" t="s">
        <v>289</v>
      </c>
      <c r="E801" t="s">
        <v>73</v>
      </c>
      <c r="F801" t="s">
        <v>74</v>
      </c>
      <c r="G801">
        <v>242368</v>
      </c>
      <c r="H801" t="s">
        <v>74</v>
      </c>
      <c r="I801" t="s">
        <v>75</v>
      </c>
      <c r="J801" t="s">
        <v>74</v>
      </c>
      <c r="K801" t="s">
        <v>3357</v>
      </c>
      <c r="L801" t="s">
        <v>77</v>
      </c>
      <c r="M801" t="s">
        <v>78</v>
      </c>
      <c r="N801" t="s">
        <v>1064</v>
      </c>
      <c r="O801" t="s">
        <v>1065</v>
      </c>
      <c r="P801" t="s">
        <v>3329</v>
      </c>
      <c r="X801">
        <v>13</v>
      </c>
      <c r="AF801" t="s">
        <v>434</v>
      </c>
      <c r="AG801" t="s">
        <v>296</v>
      </c>
      <c r="AH801" t="s">
        <v>434</v>
      </c>
      <c r="AJ801">
        <v>0</v>
      </c>
      <c r="AK801">
        <v>0</v>
      </c>
      <c r="AL801">
        <v>0</v>
      </c>
      <c r="AM801">
        <v>0</v>
      </c>
      <c r="AN801">
        <v>0</v>
      </c>
      <c r="AO801">
        <v>0</v>
      </c>
      <c r="AP801">
        <v>0</v>
      </c>
      <c r="AQ801">
        <v>0</v>
      </c>
      <c r="AR801">
        <v>0</v>
      </c>
      <c r="AS801">
        <v>1.95</v>
      </c>
      <c r="AT801">
        <v>0</v>
      </c>
      <c r="AU801">
        <v>0</v>
      </c>
      <c r="AV801">
        <v>0</v>
      </c>
      <c r="AW801">
        <v>0</v>
      </c>
      <c r="AX801">
        <v>0</v>
      </c>
      <c r="AY801">
        <v>0</v>
      </c>
      <c r="AZ801">
        <v>0</v>
      </c>
      <c r="BA801">
        <v>0</v>
      </c>
      <c r="BB801">
        <v>0</v>
      </c>
      <c r="BC801">
        <v>0</v>
      </c>
      <c r="BD801">
        <v>200.85</v>
      </c>
      <c r="BE801">
        <v>0</v>
      </c>
      <c r="BF801">
        <v>520</v>
      </c>
      <c r="BG801">
        <v>0</v>
      </c>
      <c r="BH801">
        <v>0</v>
      </c>
      <c r="BI801">
        <v>104</v>
      </c>
      <c r="BJ801">
        <v>0</v>
      </c>
      <c r="BK801">
        <v>0</v>
      </c>
      <c r="BL801">
        <v>0</v>
      </c>
      <c r="BM801">
        <v>0</v>
      </c>
      <c r="BN801">
        <v>826.8</v>
      </c>
      <c r="BO801">
        <v>132.29</v>
      </c>
      <c r="BP801">
        <v>33.07</v>
      </c>
      <c r="BQ801">
        <f t="shared" si="12"/>
        <v>926.01999999999987</v>
      </c>
      <c r="BR801" t="s">
        <v>83</v>
      </c>
    </row>
    <row r="802" spans="1:70">
      <c r="A802" t="s">
        <v>3358</v>
      </c>
      <c r="B802" t="s">
        <v>3359</v>
      </c>
      <c r="C802" t="s">
        <v>71</v>
      </c>
      <c r="D802" t="s">
        <v>289</v>
      </c>
      <c r="E802" t="s">
        <v>73</v>
      </c>
      <c r="F802" t="s">
        <v>74</v>
      </c>
      <c r="G802">
        <v>242370</v>
      </c>
      <c r="H802" t="s">
        <v>74</v>
      </c>
      <c r="I802" t="s">
        <v>75</v>
      </c>
      <c r="J802" t="s">
        <v>74</v>
      </c>
      <c r="K802" t="s">
        <v>3360</v>
      </c>
      <c r="L802" t="s">
        <v>77</v>
      </c>
      <c r="M802" t="s">
        <v>78</v>
      </c>
      <c r="N802" t="s">
        <v>406</v>
      </c>
      <c r="O802" t="s">
        <v>1778</v>
      </c>
      <c r="P802" t="s">
        <v>3329</v>
      </c>
      <c r="X802">
        <v>13</v>
      </c>
      <c r="AF802" t="s">
        <v>434</v>
      </c>
      <c r="AG802" t="s">
        <v>296</v>
      </c>
      <c r="AH802" t="s">
        <v>434</v>
      </c>
      <c r="AJ802">
        <v>0</v>
      </c>
      <c r="AK802">
        <v>0</v>
      </c>
      <c r="AL802">
        <v>0</v>
      </c>
      <c r="AM802">
        <v>0</v>
      </c>
      <c r="AN802">
        <v>0</v>
      </c>
      <c r="AO802">
        <v>0</v>
      </c>
      <c r="AP802">
        <v>0</v>
      </c>
      <c r="AQ802">
        <v>0</v>
      </c>
      <c r="AR802">
        <v>0</v>
      </c>
      <c r="AS802">
        <v>1.95</v>
      </c>
      <c r="AT802">
        <v>0</v>
      </c>
      <c r="AU802">
        <v>0</v>
      </c>
      <c r="AV802">
        <v>0</v>
      </c>
      <c r="AW802">
        <v>0</v>
      </c>
      <c r="AX802">
        <v>0</v>
      </c>
      <c r="AY802">
        <v>0</v>
      </c>
      <c r="AZ802">
        <v>0</v>
      </c>
      <c r="BA802">
        <v>0</v>
      </c>
      <c r="BB802">
        <v>0</v>
      </c>
      <c r="BC802">
        <v>0</v>
      </c>
      <c r="BD802">
        <v>200.85</v>
      </c>
      <c r="BE802">
        <v>0</v>
      </c>
      <c r="BF802">
        <v>520</v>
      </c>
      <c r="BG802">
        <v>0</v>
      </c>
      <c r="BH802">
        <v>0</v>
      </c>
      <c r="BI802">
        <v>104</v>
      </c>
      <c r="BJ802">
        <v>0</v>
      </c>
      <c r="BK802">
        <v>0</v>
      </c>
      <c r="BL802">
        <v>0</v>
      </c>
      <c r="BM802">
        <v>0</v>
      </c>
      <c r="BN802">
        <v>826.8</v>
      </c>
      <c r="BO802">
        <v>132.29</v>
      </c>
      <c r="BP802">
        <v>33.07</v>
      </c>
      <c r="BQ802">
        <f t="shared" si="12"/>
        <v>926.01999999999987</v>
      </c>
      <c r="BR802" t="s">
        <v>406</v>
      </c>
    </row>
    <row r="803" spans="1:70">
      <c r="A803" t="s">
        <v>3361</v>
      </c>
      <c r="B803" t="s">
        <v>3362</v>
      </c>
      <c r="C803" t="s">
        <v>71</v>
      </c>
      <c r="D803" t="s">
        <v>289</v>
      </c>
      <c r="E803" t="s">
        <v>73</v>
      </c>
      <c r="F803" t="s">
        <v>74</v>
      </c>
      <c r="G803">
        <v>242371</v>
      </c>
      <c r="H803" t="s">
        <v>74</v>
      </c>
      <c r="I803" t="s">
        <v>75</v>
      </c>
      <c r="J803" t="s">
        <v>74</v>
      </c>
      <c r="K803" t="s">
        <v>3363</v>
      </c>
      <c r="L803" t="s">
        <v>77</v>
      </c>
      <c r="M803" t="s">
        <v>78</v>
      </c>
      <c r="N803" t="s">
        <v>866</v>
      </c>
      <c r="O803" t="s">
        <v>3364</v>
      </c>
      <c r="P803" t="s">
        <v>3329</v>
      </c>
      <c r="X803">
        <v>9</v>
      </c>
      <c r="AF803" t="s">
        <v>407</v>
      </c>
      <c r="AG803" t="s">
        <v>296</v>
      </c>
      <c r="AH803" t="s">
        <v>407</v>
      </c>
      <c r="AJ803">
        <v>0</v>
      </c>
      <c r="AK803">
        <v>0</v>
      </c>
      <c r="AL803">
        <v>0</v>
      </c>
      <c r="AM803">
        <v>0</v>
      </c>
      <c r="AN803">
        <v>0</v>
      </c>
      <c r="AO803">
        <v>0</v>
      </c>
      <c r="AP803">
        <v>0</v>
      </c>
      <c r="AQ803">
        <v>0</v>
      </c>
      <c r="AR803">
        <v>0</v>
      </c>
      <c r="AS803">
        <v>1.35</v>
      </c>
      <c r="AT803">
        <v>0</v>
      </c>
      <c r="AU803">
        <v>0</v>
      </c>
      <c r="AV803">
        <v>236.61</v>
      </c>
      <c r="AW803">
        <v>0</v>
      </c>
      <c r="AX803">
        <v>0</v>
      </c>
      <c r="AY803">
        <v>0</v>
      </c>
      <c r="AZ803">
        <v>0</v>
      </c>
      <c r="BA803">
        <v>0</v>
      </c>
      <c r="BB803">
        <v>0</v>
      </c>
      <c r="BC803">
        <v>0</v>
      </c>
      <c r="BD803">
        <v>415.71</v>
      </c>
      <c r="BE803">
        <v>0</v>
      </c>
      <c r="BF803">
        <v>360</v>
      </c>
      <c r="BG803">
        <v>0</v>
      </c>
      <c r="BH803">
        <v>0</v>
      </c>
      <c r="BI803">
        <v>72</v>
      </c>
      <c r="BJ803">
        <v>0</v>
      </c>
      <c r="BK803">
        <v>0</v>
      </c>
      <c r="BL803">
        <v>0</v>
      </c>
      <c r="BM803">
        <v>0</v>
      </c>
      <c r="BN803">
        <v>1085.67</v>
      </c>
      <c r="BO803">
        <v>173.71</v>
      </c>
      <c r="BP803">
        <v>33.96</v>
      </c>
      <c r="BQ803">
        <f t="shared" si="12"/>
        <v>1225.42</v>
      </c>
      <c r="BR803" t="s">
        <v>866</v>
      </c>
    </row>
    <row r="804" spans="1:70">
      <c r="A804" t="s">
        <v>3365</v>
      </c>
      <c r="B804" t="s">
        <v>3366</v>
      </c>
      <c r="C804" t="s">
        <v>71</v>
      </c>
      <c r="D804" t="s">
        <v>289</v>
      </c>
      <c r="E804" t="s">
        <v>73</v>
      </c>
      <c r="F804" t="s">
        <v>74</v>
      </c>
      <c r="G804">
        <v>242372</v>
      </c>
      <c r="H804" t="s">
        <v>74</v>
      </c>
      <c r="I804" t="s">
        <v>75</v>
      </c>
      <c r="J804" t="s">
        <v>74</v>
      </c>
      <c r="K804" t="s">
        <v>3367</v>
      </c>
      <c r="L804" t="s">
        <v>77</v>
      </c>
      <c r="M804" t="s">
        <v>78</v>
      </c>
      <c r="N804" t="s">
        <v>620</v>
      </c>
      <c r="O804" t="s">
        <v>3368</v>
      </c>
      <c r="P804" t="s">
        <v>3329</v>
      </c>
      <c r="X804">
        <v>16</v>
      </c>
      <c r="AF804" t="s">
        <v>482</v>
      </c>
      <c r="AG804" t="s">
        <v>296</v>
      </c>
      <c r="AH804" t="s">
        <v>482</v>
      </c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  <c r="AP804">
        <v>0</v>
      </c>
      <c r="AQ804">
        <v>0</v>
      </c>
      <c r="AR804">
        <v>0</v>
      </c>
      <c r="AS804">
        <v>2.4</v>
      </c>
      <c r="AT804">
        <v>0</v>
      </c>
      <c r="AU804">
        <v>0</v>
      </c>
      <c r="AV804">
        <v>0</v>
      </c>
      <c r="AW804">
        <v>0</v>
      </c>
      <c r="AX804">
        <v>0</v>
      </c>
      <c r="AY804">
        <v>0</v>
      </c>
      <c r="AZ804">
        <v>0</v>
      </c>
      <c r="BA804">
        <v>0</v>
      </c>
      <c r="BB804">
        <v>0</v>
      </c>
      <c r="BC804">
        <v>0</v>
      </c>
      <c r="BD804">
        <v>247.2</v>
      </c>
      <c r="BE804">
        <v>0</v>
      </c>
      <c r="BF804">
        <v>640</v>
      </c>
      <c r="BG804">
        <v>0</v>
      </c>
      <c r="BH804">
        <v>0</v>
      </c>
      <c r="BI804">
        <v>128</v>
      </c>
      <c r="BJ804">
        <v>0</v>
      </c>
      <c r="BK804">
        <v>0</v>
      </c>
      <c r="BL804">
        <v>0</v>
      </c>
      <c r="BM804">
        <v>0</v>
      </c>
      <c r="BN804">
        <v>1017.6</v>
      </c>
      <c r="BO804">
        <v>162.81</v>
      </c>
      <c r="BP804">
        <v>40.71</v>
      </c>
      <c r="BQ804">
        <f t="shared" si="12"/>
        <v>1139.7</v>
      </c>
      <c r="BR804" t="s">
        <v>83</v>
      </c>
    </row>
    <row r="805" spans="1:70">
      <c r="A805" t="s">
        <v>3369</v>
      </c>
      <c r="B805" t="s">
        <v>3370</v>
      </c>
      <c r="C805" t="s">
        <v>71</v>
      </c>
      <c r="D805" t="s">
        <v>289</v>
      </c>
      <c r="E805" t="s">
        <v>73</v>
      </c>
      <c r="F805" t="s">
        <v>74</v>
      </c>
      <c r="G805">
        <v>242374</v>
      </c>
      <c r="H805" t="s">
        <v>74</v>
      </c>
      <c r="I805" t="s">
        <v>75</v>
      </c>
      <c r="J805" t="s">
        <v>74</v>
      </c>
      <c r="K805" t="s">
        <v>3371</v>
      </c>
      <c r="L805" t="s">
        <v>77</v>
      </c>
      <c r="M805" t="s">
        <v>78</v>
      </c>
      <c r="N805" t="s">
        <v>674</v>
      </c>
      <c r="O805" t="s">
        <v>3372</v>
      </c>
      <c r="P805" t="s">
        <v>3329</v>
      </c>
      <c r="X805">
        <v>10</v>
      </c>
      <c r="AF805" t="s">
        <v>372</v>
      </c>
      <c r="AG805" t="s">
        <v>296</v>
      </c>
      <c r="AH805" t="s">
        <v>372</v>
      </c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  <c r="AP805">
        <v>0</v>
      </c>
      <c r="AQ805">
        <v>0</v>
      </c>
      <c r="AR805">
        <v>0</v>
      </c>
      <c r="AS805">
        <v>1.5</v>
      </c>
      <c r="AT805">
        <v>0</v>
      </c>
      <c r="AU805">
        <v>0</v>
      </c>
      <c r="AV805">
        <v>0</v>
      </c>
      <c r="AW805">
        <v>0</v>
      </c>
      <c r="AX805">
        <v>0</v>
      </c>
      <c r="AY805">
        <v>0</v>
      </c>
      <c r="AZ805">
        <v>0</v>
      </c>
      <c r="BA805">
        <v>0</v>
      </c>
      <c r="BB805">
        <v>0</v>
      </c>
      <c r="BC805">
        <v>0</v>
      </c>
      <c r="BD805">
        <v>154.5</v>
      </c>
      <c r="BE805">
        <v>0</v>
      </c>
      <c r="BF805">
        <v>400</v>
      </c>
      <c r="BG805">
        <v>0</v>
      </c>
      <c r="BH805">
        <v>0</v>
      </c>
      <c r="BI805">
        <v>80</v>
      </c>
      <c r="BJ805">
        <v>0</v>
      </c>
      <c r="BK805">
        <v>0</v>
      </c>
      <c r="BL805">
        <v>0</v>
      </c>
      <c r="BM805">
        <v>0</v>
      </c>
      <c r="BN805">
        <v>636</v>
      </c>
      <c r="BO805">
        <v>101.76</v>
      </c>
      <c r="BP805">
        <v>25.44</v>
      </c>
      <c r="BQ805">
        <f t="shared" si="12"/>
        <v>712.31999999999994</v>
      </c>
      <c r="BR805" t="s">
        <v>674</v>
      </c>
    </row>
    <row r="806" spans="1:70">
      <c r="A806" t="s">
        <v>3373</v>
      </c>
      <c r="B806" t="s">
        <v>3374</v>
      </c>
      <c r="C806" t="s">
        <v>71</v>
      </c>
      <c r="D806" t="s">
        <v>289</v>
      </c>
      <c r="E806" t="s">
        <v>73</v>
      </c>
      <c r="F806" t="s">
        <v>74</v>
      </c>
      <c r="G806">
        <v>242375</v>
      </c>
      <c r="H806" t="s">
        <v>74</v>
      </c>
      <c r="I806" t="s">
        <v>75</v>
      </c>
      <c r="J806" t="s">
        <v>74</v>
      </c>
      <c r="K806" t="s">
        <v>3375</v>
      </c>
      <c r="L806" t="s">
        <v>77</v>
      </c>
      <c r="M806" t="s">
        <v>78</v>
      </c>
      <c r="N806" t="s">
        <v>501</v>
      </c>
      <c r="O806" t="s">
        <v>3275</v>
      </c>
      <c r="P806" t="s">
        <v>3329</v>
      </c>
      <c r="X806">
        <v>10</v>
      </c>
      <c r="AF806" t="s">
        <v>372</v>
      </c>
      <c r="AG806" t="s">
        <v>296</v>
      </c>
      <c r="AH806" t="s">
        <v>372</v>
      </c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1.5</v>
      </c>
      <c r="AT806">
        <v>0</v>
      </c>
      <c r="AU806">
        <v>0</v>
      </c>
      <c r="AV806">
        <v>0</v>
      </c>
      <c r="AW806">
        <v>0</v>
      </c>
      <c r="AX806">
        <v>0</v>
      </c>
      <c r="AY806">
        <v>0</v>
      </c>
      <c r="AZ806">
        <v>0</v>
      </c>
      <c r="BA806">
        <v>0</v>
      </c>
      <c r="BB806">
        <v>0</v>
      </c>
      <c r="BC806">
        <v>0</v>
      </c>
      <c r="BD806">
        <v>461.9</v>
      </c>
      <c r="BE806">
        <v>0</v>
      </c>
      <c r="BF806">
        <v>400</v>
      </c>
      <c r="BG806">
        <v>0</v>
      </c>
      <c r="BH806">
        <v>0</v>
      </c>
      <c r="BI806">
        <v>80</v>
      </c>
      <c r="BJ806">
        <v>0</v>
      </c>
      <c r="BK806">
        <v>0</v>
      </c>
      <c r="BL806">
        <v>0</v>
      </c>
      <c r="BM806">
        <v>0</v>
      </c>
      <c r="BN806">
        <v>943.4</v>
      </c>
      <c r="BO806">
        <v>150.94</v>
      </c>
      <c r="BP806">
        <v>37.74</v>
      </c>
      <c r="BQ806">
        <f t="shared" si="12"/>
        <v>1056.5999999999999</v>
      </c>
      <c r="BR806" t="s">
        <v>501</v>
      </c>
    </row>
    <row r="807" spans="1:70">
      <c r="A807" t="s">
        <v>3376</v>
      </c>
      <c r="B807" t="s">
        <v>3377</v>
      </c>
      <c r="C807" t="s">
        <v>71</v>
      </c>
      <c r="D807" t="s">
        <v>289</v>
      </c>
      <c r="E807" t="s">
        <v>73</v>
      </c>
      <c r="F807" t="s">
        <v>74</v>
      </c>
      <c r="G807">
        <v>242376</v>
      </c>
      <c r="H807" t="s">
        <v>74</v>
      </c>
      <c r="I807" t="s">
        <v>75</v>
      </c>
      <c r="J807" t="s">
        <v>74</v>
      </c>
      <c r="K807" t="s">
        <v>3378</v>
      </c>
      <c r="L807" t="s">
        <v>77</v>
      </c>
      <c r="M807" t="s">
        <v>78</v>
      </c>
      <c r="N807" t="s">
        <v>161</v>
      </c>
      <c r="O807" t="s">
        <v>1058</v>
      </c>
      <c r="P807" t="s">
        <v>3329</v>
      </c>
      <c r="X807">
        <v>5</v>
      </c>
      <c r="AF807" t="s">
        <v>333</v>
      </c>
      <c r="AG807" t="s">
        <v>296</v>
      </c>
      <c r="AH807" t="s">
        <v>333</v>
      </c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0.75</v>
      </c>
      <c r="AT807">
        <v>0</v>
      </c>
      <c r="AU807">
        <v>0</v>
      </c>
      <c r="AV807">
        <v>0</v>
      </c>
      <c r="AW807">
        <v>0</v>
      </c>
      <c r="AX807">
        <v>0</v>
      </c>
      <c r="AY807">
        <v>0</v>
      </c>
      <c r="AZ807">
        <v>0</v>
      </c>
      <c r="BA807">
        <v>0</v>
      </c>
      <c r="BB807">
        <v>0</v>
      </c>
      <c r="BC807">
        <v>0</v>
      </c>
      <c r="BD807">
        <v>77.25</v>
      </c>
      <c r="BE807">
        <v>0</v>
      </c>
      <c r="BF807">
        <v>200</v>
      </c>
      <c r="BG807">
        <v>0</v>
      </c>
      <c r="BH807">
        <v>0</v>
      </c>
      <c r="BI807">
        <v>40</v>
      </c>
      <c r="BJ807">
        <v>0</v>
      </c>
      <c r="BK807">
        <v>0</v>
      </c>
      <c r="BL807">
        <v>0</v>
      </c>
      <c r="BM807">
        <v>0</v>
      </c>
      <c r="BN807">
        <v>318</v>
      </c>
      <c r="BO807">
        <v>50.88</v>
      </c>
      <c r="BP807">
        <v>12.72</v>
      </c>
      <c r="BQ807">
        <f t="shared" si="12"/>
        <v>356.15999999999997</v>
      </c>
      <c r="BR807" t="s">
        <v>83</v>
      </c>
    </row>
    <row r="808" spans="1:70">
      <c r="A808" t="s">
        <v>3379</v>
      </c>
      <c r="B808" t="s">
        <v>3380</v>
      </c>
      <c r="C808" t="s">
        <v>71</v>
      </c>
      <c r="D808" t="s">
        <v>289</v>
      </c>
      <c r="E808" t="s">
        <v>73</v>
      </c>
      <c r="F808" t="s">
        <v>74</v>
      </c>
      <c r="G808">
        <v>242388</v>
      </c>
      <c r="H808" t="s">
        <v>74</v>
      </c>
      <c r="I808" t="s">
        <v>75</v>
      </c>
      <c r="J808" t="s">
        <v>74</v>
      </c>
      <c r="K808" t="s">
        <v>3381</v>
      </c>
      <c r="L808" t="s">
        <v>77</v>
      </c>
      <c r="M808" t="s">
        <v>78</v>
      </c>
      <c r="N808" t="s">
        <v>1570</v>
      </c>
      <c r="O808" t="s">
        <v>3382</v>
      </c>
      <c r="P808" t="s">
        <v>3329</v>
      </c>
      <c r="X808">
        <v>6</v>
      </c>
      <c r="AF808" t="s">
        <v>400</v>
      </c>
      <c r="AG808" t="s">
        <v>296</v>
      </c>
      <c r="AH808" t="s">
        <v>400</v>
      </c>
      <c r="AJ808">
        <v>0</v>
      </c>
      <c r="AK808">
        <v>0</v>
      </c>
      <c r="AL808">
        <v>0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0.9</v>
      </c>
      <c r="AT808">
        <v>0</v>
      </c>
      <c r="AU808">
        <v>0</v>
      </c>
      <c r="AV808">
        <v>0</v>
      </c>
      <c r="AW808">
        <v>0</v>
      </c>
      <c r="AX808">
        <v>0</v>
      </c>
      <c r="AY808">
        <v>0</v>
      </c>
      <c r="AZ808">
        <v>0</v>
      </c>
      <c r="BA808">
        <v>0</v>
      </c>
      <c r="BB808">
        <v>0</v>
      </c>
      <c r="BC808">
        <v>0</v>
      </c>
      <c r="BD808">
        <v>277.14</v>
      </c>
      <c r="BE808">
        <v>0</v>
      </c>
      <c r="BF808">
        <v>240</v>
      </c>
      <c r="BG808">
        <v>0</v>
      </c>
      <c r="BH808">
        <v>0</v>
      </c>
      <c r="BI808">
        <v>48</v>
      </c>
      <c r="BJ808">
        <v>0</v>
      </c>
      <c r="BK808">
        <v>0</v>
      </c>
      <c r="BL808">
        <v>0</v>
      </c>
      <c r="BM808">
        <v>0</v>
      </c>
      <c r="BN808">
        <v>566.04</v>
      </c>
      <c r="BO808">
        <v>90.56</v>
      </c>
      <c r="BP808">
        <v>22.65</v>
      </c>
      <c r="BQ808">
        <f t="shared" si="12"/>
        <v>633.94999999999993</v>
      </c>
      <c r="BR808" t="s">
        <v>1570</v>
      </c>
    </row>
    <row r="809" spans="1:70">
      <c r="A809" t="s">
        <v>3383</v>
      </c>
      <c r="B809" t="s">
        <v>3384</v>
      </c>
      <c r="C809" t="s">
        <v>71</v>
      </c>
      <c r="D809" t="s">
        <v>289</v>
      </c>
      <c r="E809" t="s">
        <v>73</v>
      </c>
      <c r="F809" t="s">
        <v>74</v>
      </c>
      <c r="G809" t="s">
        <v>3385</v>
      </c>
      <c r="H809" t="s">
        <v>74</v>
      </c>
      <c r="I809" t="s">
        <v>75</v>
      </c>
      <c r="J809" t="s">
        <v>74</v>
      </c>
      <c r="K809" t="s">
        <v>3386</v>
      </c>
      <c r="L809" t="s">
        <v>77</v>
      </c>
      <c r="M809" t="s">
        <v>78</v>
      </c>
      <c r="N809" t="s">
        <v>438</v>
      </c>
      <c r="O809" t="s">
        <v>1788</v>
      </c>
      <c r="P809" t="s">
        <v>3329</v>
      </c>
      <c r="X809">
        <v>10</v>
      </c>
      <c r="AF809" t="s">
        <v>372</v>
      </c>
      <c r="AG809" t="s">
        <v>296</v>
      </c>
      <c r="AH809" t="s">
        <v>372</v>
      </c>
      <c r="AJ809">
        <v>0</v>
      </c>
      <c r="AK809">
        <v>0</v>
      </c>
      <c r="AL809">
        <v>0</v>
      </c>
      <c r="AM809">
        <v>0</v>
      </c>
      <c r="AN809">
        <v>0</v>
      </c>
      <c r="AO809">
        <v>0</v>
      </c>
      <c r="AP809">
        <v>0</v>
      </c>
      <c r="AQ809">
        <v>0</v>
      </c>
      <c r="AR809">
        <v>0</v>
      </c>
      <c r="AS809">
        <v>1.5</v>
      </c>
      <c r="AT809">
        <v>0</v>
      </c>
      <c r="AU809">
        <v>0</v>
      </c>
      <c r="AV809">
        <v>0</v>
      </c>
      <c r="AW809">
        <v>0</v>
      </c>
      <c r="AX809">
        <v>0</v>
      </c>
      <c r="AY809">
        <v>0</v>
      </c>
      <c r="AZ809">
        <v>0</v>
      </c>
      <c r="BA809">
        <v>0</v>
      </c>
      <c r="BB809">
        <v>0</v>
      </c>
      <c r="BC809">
        <v>0</v>
      </c>
      <c r="BD809">
        <v>154.5</v>
      </c>
      <c r="BE809">
        <v>0</v>
      </c>
      <c r="BF809">
        <v>400</v>
      </c>
      <c r="BG809">
        <v>0</v>
      </c>
      <c r="BH809">
        <v>0</v>
      </c>
      <c r="BI809">
        <v>80</v>
      </c>
      <c r="BJ809">
        <v>0</v>
      </c>
      <c r="BK809">
        <v>0</v>
      </c>
      <c r="BL809">
        <v>0</v>
      </c>
      <c r="BM809">
        <v>0</v>
      </c>
      <c r="BN809">
        <v>636</v>
      </c>
      <c r="BO809">
        <v>101.76</v>
      </c>
      <c r="BP809">
        <v>25.44</v>
      </c>
      <c r="BQ809">
        <f t="shared" si="12"/>
        <v>712.31999999999994</v>
      </c>
      <c r="BR809" t="s">
        <v>440</v>
      </c>
    </row>
    <row r="810" spans="1:70">
      <c r="A810" t="s">
        <v>3387</v>
      </c>
      <c r="B810" t="s">
        <v>3388</v>
      </c>
      <c r="C810" t="s">
        <v>71</v>
      </c>
      <c r="D810" t="s">
        <v>289</v>
      </c>
      <c r="E810" t="s">
        <v>73</v>
      </c>
      <c r="F810" t="s">
        <v>74</v>
      </c>
      <c r="G810">
        <v>242397</v>
      </c>
      <c r="H810" t="s">
        <v>74</v>
      </c>
      <c r="I810" t="s">
        <v>75</v>
      </c>
      <c r="J810" t="s">
        <v>74</v>
      </c>
      <c r="K810" t="s">
        <v>3389</v>
      </c>
      <c r="L810" t="s">
        <v>77</v>
      </c>
      <c r="M810" t="s">
        <v>78</v>
      </c>
      <c r="N810" t="s">
        <v>106</v>
      </c>
      <c r="O810" t="s">
        <v>3390</v>
      </c>
      <c r="P810" t="s">
        <v>3329</v>
      </c>
      <c r="X810">
        <v>31</v>
      </c>
      <c r="AF810" t="s">
        <v>1059</v>
      </c>
      <c r="AG810" t="s">
        <v>296</v>
      </c>
      <c r="AH810" t="s">
        <v>1059</v>
      </c>
      <c r="AJ810">
        <v>0</v>
      </c>
      <c r="AK810">
        <v>0</v>
      </c>
      <c r="AL810">
        <v>0</v>
      </c>
      <c r="AM810">
        <v>0</v>
      </c>
      <c r="AN810">
        <v>0</v>
      </c>
      <c r="AO810">
        <v>0</v>
      </c>
      <c r="AP810">
        <v>0</v>
      </c>
      <c r="AQ810">
        <v>0</v>
      </c>
      <c r="AR810">
        <v>0</v>
      </c>
      <c r="AS810">
        <v>4.6500000000000004</v>
      </c>
      <c r="AT810">
        <v>0</v>
      </c>
      <c r="AU810">
        <v>0</v>
      </c>
      <c r="AV810">
        <v>0</v>
      </c>
      <c r="AW810">
        <v>0</v>
      </c>
      <c r="AX810">
        <v>0</v>
      </c>
      <c r="AY810">
        <v>0</v>
      </c>
      <c r="AZ810">
        <v>0</v>
      </c>
      <c r="BA810">
        <v>0</v>
      </c>
      <c r="BB810">
        <v>0</v>
      </c>
      <c r="BC810">
        <v>0</v>
      </c>
      <c r="BD810">
        <v>1431.89</v>
      </c>
      <c r="BE810">
        <v>0</v>
      </c>
      <c r="BF810">
        <v>1240</v>
      </c>
      <c r="BG810">
        <v>0</v>
      </c>
      <c r="BH810">
        <v>0</v>
      </c>
      <c r="BI810">
        <v>248</v>
      </c>
      <c r="BJ810">
        <v>0</v>
      </c>
      <c r="BK810">
        <v>0</v>
      </c>
      <c r="BL810">
        <v>0</v>
      </c>
      <c r="BM810">
        <v>0</v>
      </c>
      <c r="BN810">
        <v>2924.54</v>
      </c>
      <c r="BO810">
        <v>467.92</v>
      </c>
      <c r="BP810">
        <v>116.99</v>
      </c>
      <c r="BQ810">
        <f t="shared" si="12"/>
        <v>3275.4700000000003</v>
      </c>
      <c r="BR810" t="s">
        <v>106</v>
      </c>
    </row>
    <row r="811" spans="1:70">
      <c r="A811" t="s">
        <v>3391</v>
      </c>
      <c r="B811" t="s">
        <v>3392</v>
      </c>
      <c r="C811" t="s">
        <v>71</v>
      </c>
      <c r="D811" t="s">
        <v>289</v>
      </c>
      <c r="E811" t="s">
        <v>73</v>
      </c>
      <c r="F811" t="s">
        <v>74</v>
      </c>
      <c r="G811">
        <v>242401</v>
      </c>
      <c r="H811" t="s">
        <v>74</v>
      </c>
      <c r="I811" t="s">
        <v>75</v>
      </c>
      <c r="J811" t="s">
        <v>74</v>
      </c>
      <c r="K811" t="s">
        <v>3393</v>
      </c>
      <c r="L811" t="s">
        <v>77</v>
      </c>
      <c r="M811" t="s">
        <v>78</v>
      </c>
      <c r="N811" t="s">
        <v>161</v>
      </c>
      <c r="O811" t="s">
        <v>3394</v>
      </c>
      <c r="P811" t="s">
        <v>3329</v>
      </c>
      <c r="X811">
        <v>32</v>
      </c>
      <c r="AF811" t="s">
        <v>1112</v>
      </c>
      <c r="AG811" t="s">
        <v>296</v>
      </c>
      <c r="AH811" t="s">
        <v>1112</v>
      </c>
      <c r="AJ811">
        <v>0</v>
      </c>
      <c r="AK811">
        <v>0</v>
      </c>
      <c r="AL811">
        <v>0</v>
      </c>
      <c r="AM811">
        <v>0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4.8</v>
      </c>
      <c r="AT811">
        <v>0</v>
      </c>
      <c r="AU811">
        <v>0</v>
      </c>
      <c r="AV811">
        <v>0</v>
      </c>
      <c r="AW811">
        <v>0</v>
      </c>
      <c r="AX811">
        <v>0</v>
      </c>
      <c r="AY811">
        <v>0</v>
      </c>
      <c r="AZ811">
        <v>0</v>
      </c>
      <c r="BA811">
        <v>0</v>
      </c>
      <c r="BB811">
        <v>0</v>
      </c>
      <c r="BC811">
        <v>0</v>
      </c>
      <c r="BD811">
        <v>494.4</v>
      </c>
      <c r="BE811">
        <v>0</v>
      </c>
      <c r="BF811">
        <v>1280</v>
      </c>
      <c r="BG811">
        <v>0</v>
      </c>
      <c r="BH811">
        <v>0</v>
      </c>
      <c r="BI811">
        <v>256</v>
      </c>
      <c r="BJ811">
        <v>0</v>
      </c>
      <c r="BK811">
        <v>0</v>
      </c>
      <c r="BL811">
        <v>0</v>
      </c>
      <c r="BM811">
        <v>0</v>
      </c>
      <c r="BN811">
        <v>2035.2</v>
      </c>
      <c r="BO811">
        <v>325.63</v>
      </c>
      <c r="BP811">
        <v>81.41</v>
      </c>
      <c r="BQ811">
        <f t="shared" si="12"/>
        <v>2279.42</v>
      </c>
      <c r="BR811" t="s">
        <v>83</v>
      </c>
    </row>
    <row r="812" spans="1:70">
      <c r="A812" t="s">
        <v>3395</v>
      </c>
      <c r="B812" t="s">
        <v>3396</v>
      </c>
      <c r="C812" t="s">
        <v>71</v>
      </c>
      <c r="D812" t="s">
        <v>289</v>
      </c>
      <c r="E812" t="s">
        <v>73</v>
      </c>
      <c r="F812" t="s">
        <v>74</v>
      </c>
      <c r="G812">
        <v>242402</v>
      </c>
      <c r="H812" t="s">
        <v>74</v>
      </c>
      <c r="I812" t="s">
        <v>75</v>
      </c>
      <c r="J812" t="s">
        <v>74</v>
      </c>
      <c r="K812" t="s">
        <v>3397</v>
      </c>
      <c r="L812" t="s">
        <v>77</v>
      </c>
      <c r="M812" t="s">
        <v>78</v>
      </c>
      <c r="N812" t="s">
        <v>558</v>
      </c>
      <c r="O812" t="s">
        <v>1005</v>
      </c>
      <c r="P812" t="s">
        <v>3329</v>
      </c>
      <c r="X812">
        <v>20</v>
      </c>
      <c r="AF812" t="s">
        <v>384</v>
      </c>
      <c r="AG812" t="s">
        <v>296</v>
      </c>
      <c r="AH812" t="s">
        <v>384</v>
      </c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  <c r="AP812">
        <v>0</v>
      </c>
      <c r="AQ812">
        <v>0</v>
      </c>
      <c r="AR812">
        <v>0</v>
      </c>
      <c r="AS812">
        <v>3</v>
      </c>
      <c r="AT812">
        <v>0</v>
      </c>
      <c r="AU812">
        <v>0</v>
      </c>
      <c r="AV812">
        <v>0</v>
      </c>
      <c r="AW812">
        <v>0</v>
      </c>
      <c r="AX812">
        <v>0</v>
      </c>
      <c r="AY812">
        <v>0</v>
      </c>
      <c r="AZ812">
        <v>0</v>
      </c>
      <c r="BA812">
        <v>0</v>
      </c>
      <c r="BB812">
        <v>0</v>
      </c>
      <c r="BC812">
        <v>0</v>
      </c>
      <c r="BD812">
        <v>923.8</v>
      </c>
      <c r="BE812">
        <v>0</v>
      </c>
      <c r="BF812">
        <v>800</v>
      </c>
      <c r="BG812">
        <v>0</v>
      </c>
      <c r="BH812">
        <v>0</v>
      </c>
      <c r="BI812">
        <v>160</v>
      </c>
      <c r="BJ812">
        <v>0</v>
      </c>
      <c r="BK812">
        <v>0</v>
      </c>
      <c r="BL812">
        <v>0</v>
      </c>
      <c r="BM812">
        <v>0</v>
      </c>
      <c r="BN812">
        <v>1886.8</v>
      </c>
      <c r="BO812">
        <v>301.89</v>
      </c>
      <c r="BP812">
        <v>75.47</v>
      </c>
      <c r="BQ812">
        <f t="shared" si="12"/>
        <v>2113.2200000000003</v>
      </c>
      <c r="BR812" t="s">
        <v>560</v>
      </c>
    </row>
    <row r="813" spans="1:70">
      <c r="A813" t="s">
        <v>3398</v>
      </c>
      <c r="B813" t="s">
        <v>3399</v>
      </c>
      <c r="C813" t="s">
        <v>71</v>
      </c>
      <c r="D813" t="s">
        <v>289</v>
      </c>
      <c r="E813" t="s">
        <v>73</v>
      </c>
      <c r="F813" t="s">
        <v>74</v>
      </c>
      <c r="G813">
        <v>242405</v>
      </c>
      <c r="H813" t="s">
        <v>74</v>
      </c>
      <c r="I813" t="s">
        <v>75</v>
      </c>
      <c r="J813" t="s">
        <v>74</v>
      </c>
      <c r="K813" t="s">
        <v>3400</v>
      </c>
      <c r="L813" t="s">
        <v>77</v>
      </c>
      <c r="M813" t="s">
        <v>78</v>
      </c>
      <c r="N813" t="s">
        <v>637</v>
      </c>
      <c r="O813" t="s">
        <v>1373</v>
      </c>
      <c r="P813" t="s">
        <v>3329</v>
      </c>
      <c r="X813">
        <v>9</v>
      </c>
      <c r="AF813" t="s">
        <v>407</v>
      </c>
      <c r="AG813" t="s">
        <v>296</v>
      </c>
      <c r="AH813" t="s">
        <v>407</v>
      </c>
      <c r="AJ813">
        <v>0</v>
      </c>
      <c r="AK813">
        <v>0</v>
      </c>
      <c r="AL813">
        <v>0</v>
      </c>
      <c r="AM813">
        <v>0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1.35</v>
      </c>
      <c r="AT813">
        <v>0</v>
      </c>
      <c r="AU813">
        <v>0</v>
      </c>
      <c r="AV813">
        <v>0</v>
      </c>
      <c r="AW813">
        <v>0</v>
      </c>
      <c r="AX813">
        <v>0</v>
      </c>
      <c r="AY813">
        <v>0</v>
      </c>
      <c r="AZ813">
        <v>0</v>
      </c>
      <c r="BA813">
        <v>0</v>
      </c>
      <c r="BB813">
        <v>0</v>
      </c>
      <c r="BC813">
        <v>0</v>
      </c>
      <c r="BD813">
        <v>415.71</v>
      </c>
      <c r="BE813">
        <v>0</v>
      </c>
      <c r="BF813">
        <v>360</v>
      </c>
      <c r="BG813">
        <v>0</v>
      </c>
      <c r="BH813">
        <v>0</v>
      </c>
      <c r="BI813">
        <v>72</v>
      </c>
      <c r="BJ813">
        <v>0</v>
      </c>
      <c r="BK813">
        <v>0</v>
      </c>
      <c r="BL813">
        <v>0</v>
      </c>
      <c r="BM813">
        <v>0</v>
      </c>
      <c r="BN813">
        <v>849.06</v>
      </c>
      <c r="BO813">
        <v>135.85</v>
      </c>
      <c r="BP813">
        <v>33.96</v>
      </c>
      <c r="BQ813">
        <f t="shared" si="12"/>
        <v>950.94999999999993</v>
      </c>
      <c r="BR813" t="s">
        <v>639</v>
      </c>
    </row>
    <row r="814" spans="1:70">
      <c r="A814" t="s">
        <v>3401</v>
      </c>
      <c r="B814" t="s">
        <v>3402</v>
      </c>
      <c r="C814" t="s">
        <v>71</v>
      </c>
      <c r="D814" t="s">
        <v>289</v>
      </c>
      <c r="E814" t="s">
        <v>73</v>
      </c>
      <c r="F814" t="s">
        <v>74</v>
      </c>
      <c r="G814">
        <v>242409</v>
      </c>
      <c r="H814" t="s">
        <v>74</v>
      </c>
      <c r="I814" t="s">
        <v>75</v>
      </c>
      <c r="J814" t="s">
        <v>74</v>
      </c>
      <c r="K814" t="s">
        <v>3403</v>
      </c>
      <c r="L814" t="s">
        <v>77</v>
      </c>
      <c r="M814" t="s">
        <v>78</v>
      </c>
      <c r="N814" t="s">
        <v>1110</v>
      </c>
      <c r="O814" t="s">
        <v>1111</v>
      </c>
      <c r="P814" t="s">
        <v>3329</v>
      </c>
      <c r="X814">
        <v>26</v>
      </c>
      <c r="AF814" t="s">
        <v>920</v>
      </c>
      <c r="AG814" t="s">
        <v>296</v>
      </c>
      <c r="AH814" t="s">
        <v>920</v>
      </c>
      <c r="AJ814">
        <v>0</v>
      </c>
      <c r="AK814">
        <v>0</v>
      </c>
      <c r="AL814">
        <v>0</v>
      </c>
      <c r="AM814">
        <v>0</v>
      </c>
      <c r="AN814">
        <v>0</v>
      </c>
      <c r="AO814">
        <v>0</v>
      </c>
      <c r="AP814">
        <v>0</v>
      </c>
      <c r="AQ814">
        <v>0</v>
      </c>
      <c r="AR814">
        <v>0</v>
      </c>
      <c r="AS814">
        <v>3.9</v>
      </c>
      <c r="AT814">
        <v>0</v>
      </c>
      <c r="AU814">
        <v>0</v>
      </c>
      <c r="AV814">
        <v>0</v>
      </c>
      <c r="AW814">
        <v>0</v>
      </c>
      <c r="AX814">
        <v>0</v>
      </c>
      <c r="AY814">
        <v>0</v>
      </c>
      <c r="AZ814">
        <v>0</v>
      </c>
      <c r="BA814">
        <v>0</v>
      </c>
      <c r="BB814">
        <v>0</v>
      </c>
      <c r="BC814">
        <v>0</v>
      </c>
      <c r="BD814">
        <v>401.7</v>
      </c>
      <c r="BE814">
        <v>0</v>
      </c>
      <c r="BF814">
        <v>1040</v>
      </c>
      <c r="BG814">
        <v>0</v>
      </c>
      <c r="BH814">
        <v>0</v>
      </c>
      <c r="BI814">
        <v>208</v>
      </c>
      <c r="BJ814">
        <v>0</v>
      </c>
      <c r="BK814">
        <v>0</v>
      </c>
      <c r="BL814">
        <v>0</v>
      </c>
      <c r="BM814">
        <v>0</v>
      </c>
      <c r="BN814">
        <v>1653.6</v>
      </c>
      <c r="BO814">
        <v>264.57</v>
      </c>
      <c r="BP814">
        <v>66.150000000000006</v>
      </c>
      <c r="BQ814">
        <f t="shared" si="12"/>
        <v>1852.0199999999998</v>
      </c>
      <c r="BR814" t="s">
        <v>371</v>
      </c>
    </row>
    <row r="815" spans="1:70">
      <c r="A815" t="s">
        <v>3404</v>
      </c>
      <c r="B815" t="s">
        <v>3405</v>
      </c>
      <c r="C815" t="s">
        <v>71</v>
      </c>
      <c r="D815" t="s">
        <v>289</v>
      </c>
      <c r="E815" t="s">
        <v>73</v>
      </c>
      <c r="F815" t="s">
        <v>74</v>
      </c>
      <c r="G815">
        <v>242345</v>
      </c>
      <c r="H815" t="s">
        <v>74</v>
      </c>
      <c r="I815" t="s">
        <v>75</v>
      </c>
      <c r="K815" t="s">
        <v>3406</v>
      </c>
      <c r="L815" t="s">
        <v>77</v>
      </c>
      <c r="M815" t="s">
        <v>78</v>
      </c>
      <c r="N815" t="s">
        <v>757</v>
      </c>
      <c r="O815" t="s">
        <v>758</v>
      </c>
      <c r="P815" t="s">
        <v>3329</v>
      </c>
      <c r="V815">
        <v>1</v>
      </c>
      <c r="AF815" t="s">
        <v>295</v>
      </c>
      <c r="AG815" t="s">
        <v>296</v>
      </c>
      <c r="AH815" t="s">
        <v>295</v>
      </c>
      <c r="AJ815">
        <v>0</v>
      </c>
      <c r="AK815">
        <v>0</v>
      </c>
      <c r="AL815">
        <v>0</v>
      </c>
      <c r="AM815">
        <v>0</v>
      </c>
      <c r="AN815">
        <v>0</v>
      </c>
      <c r="AO815">
        <v>0</v>
      </c>
      <c r="AP815">
        <v>0</v>
      </c>
      <c r="AQ815">
        <v>0</v>
      </c>
      <c r="AR815">
        <v>0</v>
      </c>
      <c r="AS815">
        <v>0.15</v>
      </c>
      <c r="AT815">
        <v>0</v>
      </c>
      <c r="AU815">
        <v>0</v>
      </c>
      <c r="AV815">
        <v>0</v>
      </c>
      <c r="AW815">
        <v>0</v>
      </c>
      <c r="AX815">
        <v>0</v>
      </c>
      <c r="AY815">
        <v>0</v>
      </c>
      <c r="AZ815">
        <v>0</v>
      </c>
      <c r="BA815">
        <v>0</v>
      </c>
      <c r="BB815">
        <v>0</v>
      </c>
      <c r="BC815">
        <v>0</v>
      </c>
      <c r="BD815">
        <v>375.85</v>
      </c>
      <c r="BE815">
        <v>0</v>
      </c>
      <c r="BF815">
        <v>40</v>
      </c>
      <c r="BG815">
        <v>0</v>
      </c>
      <c r="BH815">
        <v>0</v>
      </c>
      <c r="BI815">
        <v>8</v>
      </c>
      <c r="BJ815">
        <v>0</v>
      </c>
      <c r="BK815">
        <v>0</v>
      </c>
      <c r="BL815">
        <v>0</v>
      </c>
      <c r="BM815">
        <v>0</v>
      </c>
      <c r="BN815">
        <v>424</v>
      </c>
      <c r="BO815">
        <v>67.84</v>
      </c>
      <c r="BP815">
        <v>16.96</v>
      </c>
      <c r="BQ815">
        <f t="shared" si="12"/>
        <v>474.88000000000005</v>
      </c>
      <c r="BR815" t="s">
        <v>757</v>
      </c>
    </row>
    <row r="816" spans="1:70">
      <c r="A816" t="s">
        <v>3407</v>
      </c>
      <c r="B816" t="s">
        <v>3408</v>
      </c>
      <c r="C816" t="s">
        <v>71</v>
      </c>
      <c r="D816" t="s">
        <v>289</v>
      </c>
      <c r="E816" t="s">
        <v>73</v>
      </c>
      <c r="F816" t="s">
        <v>74</v>
      </c>
      <c r="G816">
        <v>242410</v>
      </c>
      <c r="H816" t="s">
        <v>74</v>
      </c>
      <c r="I816" t="s">
        <v>75</v>
      </c>
      <c r="J816" t="s">
        <v>74</v>
      </c>
      <c r="K816" t="s">
        <v>3409</v>
      </c>
      <c r="L816" t="s">
        <v>77</v>
      </c>
      <c r="M816" t="s">
        <v>78</v>
      </c>
      <c r="N816" t="s">
        <v>1318</v>
      </c>
      <c r="O816" t="s">
        <v>3410</v>
      </c>
      <c r="P816" t="s">
        <v>3329</v>
      </c>
      <c r="X816">
        <v>3</v>
      </c>
      <c r="AF816" t="s">
        <v>314</v>
      </c>
      <c r="AG816" t="s">
        <v>296</v>
      </c>
      <c r="AH816" t="s">
        <v>314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0.45</v>
      </c>
      <c r="AT816">
        <v>0</v>
      </c>
      <c r="AU816">
        <v>0</v>
      </c>
      <c r="AV816">
        <v>0</v>
      </c>
      <c r="AW816">
        <v>0</v>
      </c>
      <c r="AX816">
        <v>0</v>
      </c>
      <c r="AY816">
        <v>0</v>
      </c>
      <c r="AZ816">
        <v>0</v>
      </c>
      <c r="BA816">
        <v>0</v>
      </c>
      <c r="BB816">
        <v>0</v>
      </c>
      <c r="BC816">
        <v>0</v>
      </c>
      <c r="BD816">
        <v>46.35</v>
      </c>
      <c r="BE816">
        <v>0</v>
      </c>
      <c r="BF816">
        <v>120</v>
      </c>
      <c r="BG816">
        <v>0</v>
      </c>
      <c r="BH816">
        <v>0</v>
      </c>
      <c r="BI816">
        <v>24</v>
      </c>
      <c r="BJ816">
        <v>0</v>
      </c>
      <c r="BK816">
        <v>0</v>
      </c>
      <c r="BL816">
        <v>0</v>
      </c>
      <c r="BM816">
        <v>0</v>
      </c>
      <c r="BN816">
        <v>190.8</v>
      </c>
      <c r="BO816">
        <v>30.53</v>
      </c>
      <c r="BP816">
        <v>7.63</v>
      </c>
      <c r="BQ816">
        <f t="shared" si="12"/>
        <v>213.70000000000002</v>
      </c>
      <c r="BR816" t="s">
        <v>1318</v>
      </c>
    </row>
    <row r="817" spans="1:70">
      <c r="A817" t="s">
        <v>3411</v>
      </c>
      <c r="B817" t="s">
        <v>3412</v>
      </c>
      <c r="C817" t="s">
        <v>71</v>
      </c>
      <c r="D817" t="s">
        <v>289</v>
      </c>
      <c r="E817" t="s">
        <v>73</v>
      </c>
      <c r="F817" t="s">
        <v>74</v>
      </c>
      <c r="G817">
        <v>242411</v>
      </c>
      <c r="H817" t="s">
        <v>74</v>
      </c>
      <c r="I817" t="s">
        <v>75</v>
      </c>
      <c r="J817" t="s">
        <v>74</v>
      </c>
      <c r="K817" t="s">
        <v>3413</v>
      </c>
      <c r="L817" t="s">
        <v>77</v>
      </c>
      <c r="M817" t="s">
        <v>78</v>
      </c>
      <c r="N817" t="s">
        <v>376</v>
      </c>
      <c r="O817" t="s">
        <v>3414</v>
      </c>
      <c r="P817" t="s">
        <v>3329</v>
      </c>
      <c r="X817">
        <v>10</v>
      </c>
      <c r="AF817" t="s">
        <v>372</v>
      </c>
      <c r="AG817" t="s">
        <v>296</v>
      </c>
      <c r="AH817" t="s">
        <v>372</v>
      </c>
      <c r="AJ817">
        <v>0</v>
      </c>
      <c r="AK817">
        <v>0</v>
      </c>
      <c r="AL817">
        <v>0</v>
      </c>
      <c r="AM817">
        <v>0</v>
      </c>
      <c r="AN817">
        <v>0</v>
      </c>
      <c r="AO817">
        <v>0</v>
      </c>
      <c r="AP817">
        <v>0</v>
      </c>
      <c r="AQ817">
        <v>0</v>
      </c>
      <c r="AR817">
        <v>0</v>
      </c>
      <c r="AS817">
        <v>1.5</v>
      </c>
      <c r="AT817">
        <v>0</v>
      </c>
      <c r="AU817">
        <v>0</v>
      </c>
      <c r="AV817">
        <v>0</v>
      </c>
      <c r="AW817">
        <v>0</v>
      </c>
      <c r="AX817">
        <v>0</v>
      </c>
      <c r="AY817">
        <v>0</v>
      </c>
      <c r="AZ817">
        <v>0</v>
      </c>
      <c r="BA817">
        <v>0</v>
      </c>
      <c r="BB817">
        <v>0</v>
      </c>
      <c r="BC817">
        <v>0</v>
      </c>
      <c r="BD817">
        <v>461.9</v>
      </c>
      <c r="BE817">
        <v>0</v>
      </c>
      <c r="BF817">
        <v>400</v>
      </c>
      <c r="BG817">
        <v>0</v>
      </c>
      <c r="BH817">
        <v>0</v>
      </c>
      <c r="BI817">
        <v>80</v>
      </c>
      <c r="BJ817">
        <v>0</v>
      </c>
      <c r="BK817">
        <v>0</v>
      </c>
      <c r="BL817">
        <v>0</v>
      </c>
      <c r="BM817">
        <v>0</v>
      </c>
      <c r="BN817">
        <v>943.4</v>
      </c>
      <c r="BO817">
        <v>150.94</v>
      </c>
      <c r="BP817">
        <v>37.74</v>
      </c>
      <c r="BQ817">
        <f t="shared" si="12"/>
        <v>1056.5999999999999</v>
      </c>
      <c r="BR817" t="s">
        <v>378</v>
      </c>
    </row>
    <row r="818" spans="1:70">
      <c r="A818" t="s">
        <v>3415</v>
      </c>
      <c r="B818" t="s">
        <v>3416</v>
      </c>
      <c r="C818" t="s">
        <v>71</v>
      </c>
      <c r="D818" t="s">
        <v>289</v>
      </c>
      <c r="E818" t="s">
        <v>73</v>
      </c>
      <c r="F818" t="s">
        <v>74</v>
      </c>
      <c r="G818">
        <v>242412</v>
      </c>
      <c r="H818" t="s">
        <v>74</v>
      </c>
      <c r="I818" t="s">
        <v>75</v>
      </c>
      <c r="J818" t="s">
        <v>74</v>
      </c>
      <c r="K818" t="s">
        <v>3417</v>
      </c>
      <c r="L818" t="s">
        <v>77</v>
      </c>
      <c r="M818" t="s">
        <v>78</v>
      </c>
      <c r="N818" t="s">
        <v>137</v>
      </c>
      <c r="O818" t="s">
        <v>3418</v>
      </c>
      <c r="P818" t="s">
        <v>3329</v>
      </c>
      <c r="AB818">
        <v>3</v>
      </c>
      <c r="AF818" t="s">
        <v>314</v>
      </c>
      <c r="AG818" t="s">
        <v>296</v>
      </c>
      <c r="AH818" t="s">
        <v>314</v>
      </c>
      <c r="AJ818">
        <v>0</v>
      </c>
      <c r="AK818">
        <v>0</v>
      </c>
      <c r="AL818">
        <v>0</v>
      </c>
      <c r="AM818">
        <v>0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0.45</v>
      </c>
      <c r="AT818">
        <v>0</v>
      </c>
      <c r="AU818">
        <v>0</v>
      </c>
      <c r="AV818">
        <v>0</v>
      </c>
      <c r="AW818">
        <v>0</v>
      </c>
      <c r="AX818">
        <v>0</v>
      </c>
      <c r="AY818">
        <v>0</v>
      </c>
      <c r="AZ818">
        <v>0</v>
      </c>
      <c r="BA818">
        <v>0</v>
      </c>
      <c r="BB818">
        <v>0</v>
      </c>
      <c r="BC818">
        <v>0</v>
      </c>
      <c r="BD818">
        <v>327.24</v>
      </c>
      <c r="BE818">
        <v>0</v>
      </c>
      <c r="BF818">
        <v>120</v>
      </c>
      <c r="BG818">
        <v>0</v>
      </c>
      <c r="BH818">
        <v>0</v>
      </c>
      <c r="BI818">
        <v>24</v>
      </c>
      <c r="BJ818">
        <v>0</v>
      </c>
      <c r="BK818">
        <v>0</v>
      </c>
      <c r="BL818">
        <v>0</v>
      </c>
      <c r="BM818">
        <v>0</v>
      </c>
      <c r="BN818">
        <v>471.69</v>
      </c>
      <c r="BO818">
        <v>75.47</v>
      </c>
      <c r="BP818">
        <v>18.87</v>
      </c>
      <c r="BQ818">
        <f t="shared" si="12"/>
        <v>528.29</v>
      </c>
      <c r="BR818" t="s">
        <v>141</v>
      </c>
    </row>
    <row r="819" spans="1:70">
      <c r="A819" t="s">
        <v>3419</v>
      </c>
      <c r="B819" t="s">
        <v>3420</v>
      </c>
      <c r="C819" t="s">
        <v>71</v>
      </c>
      <c r="D819" t="s">
        <v>289</v>
      </c>
      <c r="E819" t="s">
        <v>73</v>
      </c>
      <c r="F819" t="s">
        <v>74</v>
      </c>
      <c r="G819">
        <v>242414</v>
      </c>
      <c r="H819" t="s">
        <v>74</v>
      </c>
      <c r="I819" t="s">
        <v>75</v>
      </c>
      <c r="J819" t="s">
        <v>74</v>
      </c>
      <c r="K819" t="s">
        <v>3421</v>
      </c>
      <c r="L819" t="s">
        <v>77</v>
      </c>
      <c r="M819" t="s">
        <v>78</v>
      </c>
      <c r="N819" t="s">
        <v>438</v>
      </c>
      <c r="O819" t="s">
        <v>3422</v>
      </c>
      <c r="P819" t="s">
        <v>3329</v>
      </c>
      <c r="X819">
        <v>13</v>
      </c>
      <c r="AF819" t="s">
        <v>434</v>
      </c>
      <c r="AG819" t="s">
        <v>296</v>
      </c>
      <c r="AH819" t="s">
        <v>434</v>
      </c>
      <c r="AJ819">
        <v>0</v>
      </c>
      <c r="AK819">
        <v>0</v>
      </c>
      <c r="AL819">
        <v>0</v>
      </c>
      <c r="AM819">
        <v>0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1.95</v>
      </c>
      <c r="AT819">
        <v>0</v>
      </c>
      <c r="AU819">
        <v>0</v>
      </c>
      <c r="AV819">
        <v>0</v>
      </c>
      <c r="AW819">
        <v>0</v>
      </c>
      <c r="AX819">
        <v>0</v>
      </c>
      <c r="AY819">
        <v>0</v>
      </c>
      <c r="AZ819">
        <v>0</v>
      </c>
      <c r="BA819">
        <v>0</v>
      </c>
      <c r="BB819">
        <v>0</v>
      </c>
      <c r="BC819">
        <v>0</v>
      </c>
      <c r="BD819">
        <v>200.85</v>
      </c>
      <c r="BE819">
        <v>0</v>
      </c>
      <c r="BF819">
        <v>520</v>
      </c>
      <c r="BG819">
        <v>0</v>
      </c>
      <c r="BH819">
        <v>0</v>
      </c>
      <c r="BI819">
        <v>104</v>
      </c>
      <c r="BJ819">
        <v>0</v>
      </c>
      <c r="BK819">
        <v>0</v>
      </c>
      <c r="BL819">
        <v>0</v>
      </c>
      <c r="BM819">
        <v>0</v>
      </c>
      <c r="BN819">
        <v>826.8</v>
      </c>
      <c r="BO819">
        <v>132.29</v>
      </c>
      <c r="BP819">
        <v>33.07</v>
      </c>
      <c r="BQ819">
        <f t="shared" si="12"/>
        <v>926.01999999999987</v>
      </c>
      <c r="BR819" t="s">
        <v>440</v>
      </c>
    </row>
    <row r="820" spans="1:70">
      <c r="A820" t="s">
        <v>3423</v>
      </c>
      <c r="B820" t="s">
        <v>3424</v>
      </c>
      <c r="C820" t="s">
        <v>71</v>
      </c>
      <c r="D820" t="s">
        <v>289</v>
      </c>
      <c r="E820" t="s">
        <v>73</v>
      </c>
      <c r="F820" t="s">
        <v>74</v>
      </c>
      <c r="G820">
        <v>242415</v>
      </c>
      <c r="H820" t="s">
        <v>74</v>
      </c>
      <c r="I820" t="s">
        <v>75</v>
      </c>
      <c r="J820" t="s">
        <v>74</v>
      </c>
      <c r="K820" t="s">
        <v>3425</v>
      </c>
      <c r="L820" t="s">
        <v>77</v>
      </c>
      <c r="M820" t="s">
        <v>78</v>
      </c>
      <c r="N820" t="s">
        <v>1088</v>
      </c>
      <c r="O820" t="s">
        <v>1089</v>
      </c>
      <c r="P820" t="s">
        <v>3329</v>
      </c>
      <c r="X820">
        <v>24</v>
      </c>
      <c r="AF820" t="s">
        <v>1177</v>
      </c>
      <c r="AG820" t="s">
        <v>296</v>
      </c>
      <c r="AH820" t="s">
        <v>1177</v>
      </c>
      <c r="AJ820">
        <v>0</v>
      </c>
      <c r="AK820">
        <v>0</v>
      </c>
      <c r="AL820">
        <v>0</v>
      </c>
      <c r="AM820">
        <v>0</v>
      </c>
      <c r="AN820">
        <v>0</v>
      </c>
      <c r="AO820">
        <v>0</v>
      </c>
      <c r="AP820">
        <v>0</v>
      </c>
      <c r="AQ820">
        <v>0</v>
      </c>
      <c r="AR820">
        <v>0</v>
      </c>
      <c r="AS820">
        <v>3.6</v>
      </c>
      <c r="AT820">
        <v>0</v>
      </c>
      <c r="AU820">
        <v>0</v>
      </c>
      <c r="AV820">
        <v>0</v>
      </c>
      <c r="AW820">
        <v>0</v>
      </c>
      <c r="AX820">
        <v>0</v>
      </c>
      <c r="AY820">
        <v>0</v>
      </c>
      <c r="AZ820">
        <v>0</v>
      </c>
      <c r="BA820">
        <v>0</v>
      </c>
      <c r="BB820">
        <v>0</v>
      </c>
      <c r="BC820">
        <v>0</v>
      </c>
      <c r="BD820">
        <v>370.8</v>
      </c>
      <c r="BE820">
        <v>0</v>
      </c>
      <c r="BF820">
        <v>960</v>
      </c>
      <c r="BG820">
        <v>0</v>
      </c>
      <c r="BH820">
        <v>0</v>
      </c>
      <c r="BI820">
        <v>192</v>
      </c>
      <c r="BJ820">
        <v>0</v>
      </c>
      <c r="BK820">
        <v>0</v>
      </c>
      <c r="BL820">
        <v>0</v>
      </c>
      <c r="BM820">
        <v>0</v>
      </c>
      <c r="BN820">
        <v>1526.4</v>
      </c>
      <c r="BO820">
        <v>244.23</v>
      </c>
      <c r="BP820">
        <v>61.05</v>
      </c>
      <c r="BQ820">
        <f t="shared" si="12"/>
        <v>1709.5800000000002</v>
      </c>
      <c r="BR820" t="s">
        <v>83</v>
      </c>
    </row>
    <row r="821" spans="1:70">
      <c r="A821" t="s">
        <v>3426</v>
      </c>
      <c r="B821" t="s">
        <v>3427</v>
      </c>
      <c r="C821" t="s">
        <v>71</v>
      </c>
      <c r="D821" t="s">
        <v>289</v>
      </c>
      <c r="E821" t="s">
        <v>73</v>
      </c>
      <c r="F821" t="s">
        <v>74</v>
      </c>
      <c r="G821">
        <v>242416</v>
      </c>
      <c r="H821" t="s">
        <v>74</v>
      </c>
      <c r="I821" t="s">
        <v>1809</v>
      </c>
      <c r="K821" t="s">
        <v>3428</v>
      </c>
      <c r="L821" t="s">
        <v>77</v>
      </c>
      <c r="M821" t="s">
        <v>78</v>
      </c>
      <c r="N821" t="s">
        <v>358</v>
      </c>
      <c r="O821" t="s">
        <v>997</v>
      </c>
      <c r="P821" t="s">
        <v>3329</v>
      </c>
      <c r="X821">
        <v>19</v>
      </c>
      <c r="AF821" t="s">
        <v>569</v>
      </c>
      <c r="AG821" t="s">
        <v>296</v>
      </c>
      <c r="AH821" t="s">
        <v>569</v>
      </c>
      <c r="AJ821">
        <v>0</v>
      </c>
      <c r="AK821">
        <v>0</v>
      </c>
      <c r="AL821">
        <v>0</v>
      </c>
      <c r="AM821">
        <v>0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2.85</v>
      </c>
      <c r="AT821">
        <v>0</v>
      </c>
      <c r="AU821">
        <v>0</v>
      </c>
      <c r="AV821">
        <v>0</v>
      </c>
      <c r="AW821">
        <v>0</v>
      </c>
      <c r="AX821">
        <v>0</v>
      </c>
      <c r="AY821">
        <v>0</v>
      </c>
      <c r="AZ821">
        <v>0</v>
      </c>
      <c r="BA821">
        <v>0</v>
      </c>
      <c r="BB821">
        <v>0</v>
      </c>
      <c r="BC821">
        <v>0</v>
      </c>
      <c r="BD821">
        <v>877.61</v>
      </c>
      <c r="BE821">
        <v>0</v>
      </c>
      <c r="BF821">
        <v>760</v>
      </c>
      <c r="BG821">
        <v>0</v>
      </c>
      <c r="BH821">
        <v>0</v>
      </c>
      <c r="BI821">
        <v>152</v>
      </c>
      <c r="BJ821">
        <v>0</v>
      </c>
      <c r="BK821">
        <v>0</v>
      </c>
      <c r="BL821">
        <v>0</v>
      </c>
      <c r="BM821">
        <v>0</v>
      </c>
      <c r="BN821">
        <v>1792.46</v>
      </c>
      <c r="BO821">
        <v>286.8</v>
      </c>
      <c r="BP821">
        <v>71.69</v>
      </c>
      <c r="BQ821">
        <f t="shared" si="12"/>
        <v>2007.5700000000002</v>
      </c>
      <c r="BR821" t="s">
        <v>358</v>
      </c>
    </row>
    <row r="822" spans="1:70">
      <c r="A822" t="s">
        <v>3429</v>
      </c>
      <c r="B822" t="s">
        <v>3430</v>
      </c>
      <c r="C822" t="s">
        <v>71</v>
      </c>
      <c r="D822" t="s">
        <v>289</v>
      </c>
      <c r="E822" t="s">
        <v>73</v>
      </c>
      <c r="F822" t="s">
        <v>74</v>
      </c>
      <c r="G822">
        <v>242417</v>
      </c>
      <c r="H822" t="s">
        <v>74</v>
      </c>
      <c r="I822" t="s">
        <v>75</v>
      </c>
      <c r="K822" t="s">
        <v>3431</v>
      </c>
      <c r="L822" t="s">
        <v>77</v>
      </c>
      <c r="M822" t="s">
        <v>78</v>
      </c>
      <c r="N822" t="s">
        <v>474</v>
      </c>
      <c r="O822" t="s">
        <v>475</v>
      </c>
      <c r="P822" t="s">
        <v>3329</v>
      </c>
      <c r="X822">
        <v>12</v>
      </c>
      <c r="AF822" t="s">
        <v>379</v>
      </c>
      <c r="AG822" t="s">
        <v>296</v>
      </c>
      <c r="AH822" t="s">
        <v>379</v>
      </c>
      <c r="AJ822">
        <v>0</v>
      </c>
      <c r="AK822">
        <v>0</v>
      </c>
      <c r="AL822">
        <v>0</v>
      </c>
      <c r="AM822">
        <v>0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1.8</v>
      </c>
      <c r="AT822">
        <v>0</v>
      </c>
      <c r="AU822">
        <v>0</v>
      </c>
      <c r="AV822">
        <v>0</v>
      </c>
      <c r="AW822">
        <v>0</v>
      </c>
      <c r="AX822">
        <v>0</v>
      </c>
      <c r="AY822">
        <v>0</v>
      </c>
      <c r="AZ822">
        <v>0</v>
      </c>
      <c r="BA822">
        <v>0</v>
      </c>
      <c r="BB822">
        <v>0</v>
      </c>
      <c r="BC822">
        <v>0</v>
      </c>
      <c r="BD822">
        <v>554.28</v>
      </c>
      <c r="BE822">
        <v>0</v>
      </c>
      <c r="BF822">
        <v>480</v>
      </c>
      <c r="BG822">
        <v>0</v>
      </c>
      <c r="BH822">
        <v>0</v>
      </c>
      <c r="BI822">
        <v>96</v>
      </c>
      <c r="BJ822">
        <v>0</v>
      </c>
      <c r="BK822">
        <v>0</v>
      </c>
      <c r="BL822">
        <v>0</v>
      </c>
      <c r="BM822">
        <v>0</v>
      </c>
      <c r="BN822">
        <v>1132.08</v>
      </c>
      <c r="BO822">
        <v>181.13</v>
      </c>
      <c r="BP822">
        <v>45.28</v>
      </c>
      <c r="BQ822">
        <f t="shared" si="12"/>
        <v>1267.93</v>
      </c>
      <c r="BR822" t="s">
        <v>476</v>
      </c>
    </row>
    <row r="823" spans="1:70">
      <c r="A823" t="s">
        <v>3432</v>
      </c>
      <c r="B823" t="s">
        <v>3433</v>
      </c>
      <c r="C823" t="s">
        <v>71</v>
      </c>
      <c r="D823" t="s">
        <v>289</v>
      </c>
      <c r="E823" t="s">
        <v>73</v>
      </c>
      <c r="F823" t="s">
        <v>74</v>
      </c>
      <c r="G823">
        <v>242419</v>
      </c>
      <c r="H823" t="s">
        <v>74</v>
      </c>
      <c r="I823" t="s">
        <v>75</v>
      </c>
      <c r="J823" t="s">
        <v>74</v>
      </c>
      <c r="K823" t="s">
        <v>3434</v>
      </c>
      <c r="L823" t="s">
        <v>77</v>
      </c>
      <c r="M823" t="s">
        <v>78</v>
      </c>
      <c r="N823" t="s">
        <v>282</v>
      </c>
      <c r="O823" t="s">
        <v>1242</v>
      </c>
      <c r="P823" t="s">
        <v>3329</v>
      </c>
      <c r="X823">
        <v>5</v>
      </c>
      <c r="AF823" t="s">
        <v>333</v>
      </c>
      <c r="AG823" t="s">
        <v>296</v>
      </c>
      <c r="AH823" t="s">
        <v>333</v>
      </c>
      <c r="AJ823">
        <v>0</v>
      </c>
      <c r="AK823">
        <v>0</v>
      </c>
      <c r="AL823">
        <v>0</v>
      </c>
      <c r="AM823">
        <v>0</v>
      </c>
      <c r="AN823">
        <v>0</v>
      </c>
      <c r="AO823">
        <v>0</v>
      </c>
      <c r="AP823">
        <v>0</v>
      </c>
      <c r="AQ823">
        <v>0</v>
      </c>
      <c r="AR823">
        <v>0</v>
      </c>
      <c r="AS823">
        <v>0.75</v>
      </c>
      <c r="AT823">
        <v>0</v>
      </c>
      <c r="AU823">
        <v>0</v>
      </c>
      <c r="AV823">
        <v>0</v>
      </c>
      <c r="AW823">
        <v>0</v>
      </c>
      <c r="AX823">
        <v>0</v>
      </c>
      <c r="AY823">
        <v>0</v>
      </c>
      <c r="AZ823">
        <v>0</v>
      </c>
      <c r="BA823">
        <v>0</v>
      </c>
      <c r="BB823">
        <v>0</v>
      </c>
      <c r="BC823">
        <v>0</v>
      </c>
      <c r="BD823">
        <v>230.95</v>
      </c>
      <c r="BE823">
        <v>0</v>
      </c>
      <c r="BF823">
        <v>200</v>
      </c>
      <c r="BG823">
        <v>0</v>
      </c>
      <c r="BH823">
        <v>0</v>
      </c>
      <c r="BI823">
        <v>40</v>
      </c>
      <c r="BJ823">
        <v>0</v>
      </c>
      <c r="BK823">
        <v>0</v>
      </c>
      <c r="BL823">
        <v>0</v>
      </c>
      <c r="BM823">
        <v>0</v>
      </c>
      <c r="BN823">
        <v>471.7</v>
      </c>
      <c r="BO823">
        <v>75.47</v>
      </c>
      <c r="BP823">
        <v>18.87</v>
      </c>
      <c r="BQ823">
        <f t="shared" si="12"/>
        <v>528.29999999999995</v>
      </c>
      <c r="BR823" t="s">
        <v>286</v>
      </c>
    </row>
    <row r="824" spans="1:70">
      <c r="A824" t="s">
        <v>3435</v>
      </c>
      <c r="B824" t="s">
        <v>3436</v>
      </c>
      <c r="C824" t="s">
        <v>71</v>
      </c>
      <c r="D824" t="s">
        <v>289</v>
      </c>
      <c r="E824" t="s">
        <v>73</v>
      </c>
      <c r="F824" t="s">
        <v>74</v>
      </c>
      <c r="G824">
        <v>242300</v>
      </c>
      <c r="H824" t="s">
        <v>74</v>
      </c>
      <c r="I824" t="s">
        <v>75</v>
      </c>
      <c r="J824" t="s">
        <v>74</v>
      </c>
      <c r="K824" t="s">
        <v>3437</v>
      </c>
      <c r="L824" t="s">
        <v>77</v>
      </c>
      <c r="M824" t="s">
        <v>78</v>
      </c>
      <c r="N824" t="s">
        <v>866</v>
      </c>
      <c r="O824" t="s">
        <v>3438</v>
      </c>
      <c r="P824" t="s">
        <v>3329</v>
      </c>
      <c r="V824">
        <v>1</v>
      </c>
      <c r="AF824" t="s">
        <v>295</v>
      </c>
      <c r="AG824" t="s">
        <v>296</v>
      </c>
      <c r="AH824" t="s">
        <v>295</v>
      </c>
      <c r="AJ824">
        <v>0</v>
      </c>
      <c r="AK824">
        <v>0</v>
      </c>
      <c r="AL824">
        <v>0</v>
      </c>
      <c r="AM824">
        <v>0</v>
      </c>
      <c r="AN824">
        <v>0</v>
      </c>
      <c r="AO824">
        <v>0</v>
      </c>
      <c r="AP824">
        <v>0</v>
      </c>
      <c r="AQ824">
        <v>0</v>
      </c>
      <c r="AR824">
        <v>0</v>
      </c>
      <c r="AS824">
        <v>0.15</v>
      </c>
      <c r="AT824">
        <v>0</v>
      </c>
      <c r="AU824">
        <v>0</v>
      </c>
      <c r="AV824">
        <v>26.29</v>
      </c>
      <c r="AW824">
        <v>0</v>
      </c>
      <c r="AX824">
        <v>0</v>
      </c>
      <c r="AY824">
        <v>0</v>
      </c>
      <c r="AZ824">
        <v>0</v>
      </c>
      <c r="BA824">
        <v>0</v>
      </c>
      <c r="BB824">
        <v>0</v>
      </c>
      <c r="BC824">
        <v>0</v>
      </c>
      <c r="BD824">
        <v>423.55</v>
      </c>
      <c r="BE824">
        <v>0</v>
      </c>
      <c r="BF824">
        <v>40</v>
      </c>
      <c r="BG824">
        <v>0</v>
      </c>
      <c r="BH824">
        <v>0</v>
      </c>
      <c r="BI824">
        <v>8</v>
      </c>
      <c r="BJ824">
        <v>0</v>
      </c>
      <c r="BK824">
        <v>0</v>
      </c>
      <c r="BL824">
        <v>0</v>
      </c>
      <c r="BM824">
        <v>0</v>
      </c>
      <c r="BN824">
        <v>497.99</v>
      </c>
      <c r="BO824">
        <v>79.680000000000007</v>
      </c>
      <c r="BP824">
        <v>18.87</v>
      </c>
      <c r="BQ824">
        <f t="shared" si="12"/>
        <v>558.80000000000007</v>
      </c>
      <c r="BR824" t="s">
        <v>866</v>
      </c>
    </row>
    <row r="825" spans="1:70">
      <c r="A825" t="s">
        <v>3439</v>
      </c>
      <c r="B825" t="s">
        <v>3440</v>
      </c>
      <c r="C825" t="s">
        <v>71</v>
      </c>
      <c r="D825" t="s">
        <v>289</v>
      </c>
      <c r="E825" t="s">
        <v>73</v>
      </c>
      <c r="F825" t="s">
        <v>74</v>
      </c>
      <c r="G825">
        <v>242271</v>
      </c>
      <c r="H825" t="s">
        <v>74</v>
      </c>
      <c r="I825" t="s">
        <v>75</v>
      </c>
      <c r="J825" t="s">
        <v>74</v>
      </c>
      <c r="K825" t="s">
        <v>3441</v>
      </c>
      <c r="L825" t="s">
        <v>77</v>
      </c>
      <c r="M825" t="s">
        <v>78</v>
      </c>
      <c r="N825" t="s">
        <v>674</v>
      </c>
      <c r="O825" t="s">
        <v>3442</v>
      </c>
      <c r="P825" t="s">
        <v>3329</v>
      </c>
      <c r="X825">
        <v>19</v>
      </c>
      <c r="AF825" t="s">
        <v>569</v>
      </c>
      <c r="AG825" t="s">
        <v>296</v>
      </c>
      <c r="AH825" t="s">
        <v>569</v>
      </c>
      <c r="AJ825">
        <v>0</v>
      </c>
      <c r="AK825">
        <v>0</v>
      </c>
      <c r="AL825">
        <v>0</v>
      </c>
      <c r="AM825">
        <v>0</v>
      </c>
      <c r="AN825">
        <v>0</v>
      </c>
      <c r="AO825">
        <v>0</v>
      </c>
      <c r="AP825">
        <v>0</v>
      </c>
      <c r="AQ825">
        <v>0</v>
      </c>
      <c r="AR825">
        <v>0</v>
      </c>
      <c r="AS825">
        <v>2.85</v>
      </c>
      <c r="AT825">
        <v>0</v>
      </c>
      <c r="AU825">
        <v>0</v>
      </c>
      <c r="AV825">
        <v>0</v>
      </c>
      <c r="AW825">
        <v>0</v>
      </c>
      <c r="AX825">
        <v>0</v>
      </c>
      <c r="AY825">
        <v>0</v>
      </c>
      <c r="AZ825">
        <v>0</v>
      </c>
      <c r="BA825">
        <v>0</v>
      </c>
      <c r="BB825">
        <v>0</v>
      </c>
      <c r="BC825">
        <v>0</v>
      </c>
      <c r="BD825">
        <v>293.55</v>
      </c>
      <c r="BE825">
        <v>0</v>
      </c>
      <c r="BF825">
        <v>760</v>
      </c>
      <c r="BG825">
        <v>0</v>
      </c>
      <c r="BH825">
        <v>0</v>
      </c>
      <c r="BI825">
        <v>152</v>
      </c>
      <c r="BJ825">
        <v>0</v>
      </c>
      <c r="BK825">
        <v>0</v>
      </c>
      <c r="BL825">
        <v>0</v>
      </c>
      <c r="BM825">
        <v>0</v>
      </c>
      <c r="BN825">
        <v>1208.4000000000001</v>
      </c>
      <c r="BO825">
        <v>193.35</v>
      </c>
      <c r="BP825">
        <v>48.33</v>
      </c>
      <c r="BQ825">
        <f t="shared" si="12"/>
        <v>1353.42</v>
      </c>
      <c r="BR825" t="s">
        <v>674</v>
      </c>
    </row>
    <row r="826" spans="1:70">
      <c r="A826" t="s">
        <v>3443</v>
      </c>
      <c r="B826" t="s">
        <v>3444</v>
      </c>
      <c r="C826" t="s">
        <v>71</v>
      </c>
      <c r="D826" t="s">
        <v>289</v>
      </c>
      <c r="E826" t="s">
        <v>73</v>
      </c>
      <c r="F826" t="s">
        <v>74</v>
      </c>
      <c r="G826">
        <v>242425</v>
      </c>
      <c r="H826" t="s">
        <v>74</v>
      </c>
      <c r="I826" t="s">
        <v>75</v>
      </c>
      <c r="J826" t="s">
        <v>74</v>
      </c>
      <c r="K826" t="s">
        <v>3445</v>
      </c>
      <c r="L826" t="s">
        <v>77</v>
      </c>
      <c r="M826" t="s">
        <v>78</v>
      </c>
      <c r="N826" t="s">
        <v>137</v>
      </c>
      <c r="O826" t="s">
        <v>1283</v>
      </c>
      <c r="P826" t="s">
        <v>3446</v>
      </c>
      <c r="X826">
        <v>21</v>
      </c>
      <c r="AF826" t="s">
        <v>684</v>
      </c>
      <c r="AG826" t="s">
        <v>296</v>
      </c>
      <c r="AH826" t="s">
        <v>684</v>
      </c>
      <c r="AJ826">
        <v>0</v>
      </c>
      <c r="AK826">
        <v>0</v>
      </c>
      <c r="AL826">
        <v>0</v>
      </c>
      <c r="AM826">
        <v>0</v>
      </c>
      <c r="AN826">
        <v>0</v>
      </c>
      <c r="AO826">
        <v>0</v>
      </c>
      <c r="AP826">
        <v>0</v>
      </c>
      <c r="AQ826">
        <v>0</v>
      </c>
      <c r="AR826">
        <v>0</v>
      </c>
      <c r="AS826">
        <v>3.15</v>
      </c>
      <c r="AT826">
        <v>0</v>
      </c>
      <c r="AU826">
        <v>0</v>
      </c>
      <c r="AV826">
        <v>0</v>
      </c>
      <c r="AW826">
        <v>0</v>
      </c>
      <c r="AX826">
        <v>0</v>
      </c>
      <c r="AY826">
        <v>0</v>
      </c>
      <c r="AZ826">
        <v>0</v>
      </c>
      <c r="BA826">
        <v>0</v>
      </c>
      <c r="BB826">
        <v>0</v>
      </c>
      <c r="BC826">
        <v>0</v>
      </c>
      <c r="BD826">
        <v>969.99</v>
      </c>
      <c r="BE826">
        <v>0</v>
      </c>
      <c r="BF826">
        <v>840</v>
      </c>
      <c r="BG826">
        <v>0</v>
      </c>
      <c r="BH826">
        <v>0</v>
      </c>
      <c r="BI826">
        <v>168</v>
      </c>
      <c r="BJ826">
        <v>0</v>
      </c>
      <c r="BK826">
        <v>0</v>
      </c>
      <c r="BL826">
        <v>0</v>
      </c>
      <c r="BM826">
        <v>0</v>
      </c>
      <c r="BN826">
        <v>1981.14</v>
      </c>
      <c r="BO826">
        <v>316.98</v>
      </c>
      <c r="BP826">
        <v>79.25</v>
      </c>
      <c r="BQ826">
        <f t="shared" si="12"/>
        <v>2218.87</v>
      </c>
      <c r="BR826" t="s">
        <v>141</v>
      </c>
    </row>
    <row r="827" spans="1:70">
      <c r="A827" t="s">
        <v>3447</v>
      </c>
      <c r="B827" t="s">
        <v>3448</v>
      </c>
      <c r="C827" t="s">
        <v>71</v>
      </c>
      <c r="D827" t="s">
        <v>289</v>
      </c>
      <c r="E827" t="s">
        <v>73</v>
      </c>
      <c r="F827" t="s">
        <v>74</v>
      </c>
      <c r="G827">
        <v>242426</v>
      </c>
      <c r="H827" t="s">
        <v>74</v>
      </c>
      <c r="I827" t="s">
        <v>75</v>
      </c>
      <c r="J827" t="s">
        <v>74</v>
      </c>
      <c r="K827" t="s">
        <v>3449</v>
      </c>
      <c r="L827" t="s">
        <v>77</v>
      </c>
      <c r="M827" t="s">
        <v>78</v>
      </c>
      <c r="N827" t="s">
        <v>312</v>
      </c>
      <c r="O827" t="s">
        <v>1477</v>
      </c>
      <c r="P827" t="s">
        <v>3446</v>
      </c>
      <c r="X827">
        <v>14</v>
      </c>
      <c r="AF827" t="s">
        <v>413</v>
      </c>
      <c r="AG827" t="s">
        <v>296</v>
      </c>
      <c r="AH827" t="s">
        <v>413</v>
      </c>
      <c r="AJ827">
        <v>0</v>
      </c>
      <c r="AK827">
        <v>0</v>
      </c>
      <c r="AL827">
        <v>0</v>
      </c>
      <c r="AM827">
        <v>0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2.1</v>
      </c>
      <c r="AT827">
        <v>0</v>
      </c>
      <c r="AU827">
        <v>0</v>
      </c>
      <c r="AV827">
        <v>0</v>
      </c>
      <c r="AW827">
        <v>0</v>
      </c>
      <c r="AX827">
        <v>0</v>
      </c>
      <c r="AY827">
        <v>0</v>
      </c>
      <c r="AZ827">
        <v>0</v>
      </c>
      <c r="BA827">
        <v>0</v>
      </c>
      <c r="BB827">
        <v>0</v>
      </c>
      <c r="BC827">
        <v>0</v>
      </c>
      <c r="BD827">
        <v>216.3</v>
      </c>
      <c r="BE827">
        <v>0</v>
      </c>
      <c r="BF827">
        <v>560</v>
      </c>
      <c r="BG827">
        <v>0</v>
      </c>
      <c r="BH827">
        <v>0</v>
      </c>
      <c r="BI827">
        <v>112</v>
      </c>
      <c r="BJ827">
        <v>0</v>
      </c>
      <c r="BK827">
        <v>0</v>
      </c>
      <c r="BL827">
        <v>0</v>
      </c>
      <c r="BM827">
        <v>0</v>
      </c>
      <c r="BN827">
        <v>890.4</v>
      </c>
      <c r="BO827">
        <v>142.47</v>
      </c>
      <c r="BP827">
        <v>35.61</v>
      </c>
      <c r="BQ827">
        <f t="shared" si="12"/>
        <v>997.25999999999988</v>
      </c>
      <c r="BR827" t="s">
        <v>312</v>
      </c>
    </row>
    <row r="828" spans="1:70">
      <c r="A828" t="s">
        <v>3450</v>
      </c>
      <c r="B828" t="s">
        <v>3451</v>
      </c>
      <c r="C828" t="s">
        <v>71</v>
      </c>
      <c r="D828" t="s">
        <v>289</v>
      </c>
      <c r="E828" t="s">
        <v>73</v>
      </c>
      <c r="F828" t="s">
        <v>74</v>
      </c>
      <c r="G828">
        <v>242434</v>
      </c>
      <c r="H828" t="s">
        <v>74</v>
      </c>
      <c r="I828" t="s">
        <v>75</v>
      </c>
      <c r="J828" t="s">
        <v>74</v>
      </c>
      <c r="K828" t="s">
        <v>3452</v>
      </c>
      <c r="L828" t="s">
        <v>77</v>
      </c>
      <c r="M828" t="s">
        <v>78</v>
      </c>
      <c r="N828" t="s">
        <v>349</v>
      </c>
      <c r="O828" t="s">
        <v>1613</v>
      </c>
      <c r="P828" t="s">
        <v>3446</v>
      </c>
      <c r="X828">
        <v>7</v>
      </c>
      <c r="AF828" t="s">
        <v>345</v>
      </c>
      <c r="AG828" t="s">
        <v>296</v>
      </c>
      <c r="AH828" t="s">
        <v>345</v>
      </c>
      <c r="AJ828">
        <v>0</v>
      </c>
      <c r="AK828">
        <v>0</v>
      </c>
      <c r="AL828">
        <v>0</v>
      </c>
      <c r="AM828">
        <v>0</v>
      </c>
      <c r="AN828">
        <v>0</v>
      </c>
      <c r="AO828">
        <v>0</v>
      </c>
      <c r="AP828">
        <v>0</v>
      </c>
      <c r="AQ828">
        <v>0</v>
      </c>
      <c r="AR828">
        <v>0</v>
      </c>
      <c r="AS828">
        <v>1.05</v>
      </c>
      <c r="AT828">
        <v>0</v>
      </c>
      <c r="AU828">
        <v>0</v>
      </c>
      <c r="AV828">
        <v>0</v>
      </c>
      <c r="AW828">
        <v>0</v>
      </c>
      <c r="AX828">
        <v>0</v>
      </c>
      <c r="AY828">
        <v>0</v>
      </c>
      <c r="AZ828">
        <v>0</v>
      </c>
      <c r="BA828">
        <v>0</v>
      </c>
      <c r="BB828">
        <v>0</v>
      </c>
      <c r="BC828">
        <v>0</v>
      </c>
      <c r="BD828">
        <v>323.33</v>
      </c>
      <c r="BE828">
        <v>0</v>
      </c>
      <c r="BF828">
        <v>280</v>
      </c>
      <c r="BG828">
        <v>0</v>
      </c>
      <c r="BH828">
        <v>0</v>
      </c>
      <c r="BI828">
        <v>56</v>
      </c>
      <c r="BJ828">
        <v>0</v>
      </c>
      <c r="BK828">
        <v>0</v>
      </c>
      <c r="BL828">
        <v>0</v>
      </c>
      <c r="BM828">
        <v>0</v>
      </c>
      <c r="BN828">
        <v>660.38</v>
      </c>
      <c r="BO828">
        <v>105.66</v>
      </c>
      <c r="BP828">
        <v>26.41</v>
      </c>
      <c r="BQ828">
        <f t="shared" si="12"/>
        <v>739.63</v>
      </c>
      <c r="BR828" t="s">
        <v>349</v>
      </c>
    </row>
    <row r="829" spans="1:70">
      <c r="A829" t="s">
        <v>3453</v>
      </c>
      <c r="B829" t="s">
        <v>3454</v>
      </c>
      <c r="C829" t="s">
        <v>71</v>
      </c>
      <c r="D829" t="s">
        <v>289</v>
      </c>
      <c r="E829" t="s">
        <v>73</v>
      </c>
      <c r="F829" t="s">
        <v>74</v>
      </c>
      <c r="G829">
        <v>242436</v>
      </c>
      <c r="H829" t="s">
        <v>74</v>
      </c>
      <c r="I829" t="s">
        <v>75</v>
      </c>
      <c r="J829" t="s">
        <v>74</v>
      </c>
      <c r="K829" t="s">
        <v>3455</v>
      </c>
      <c r="L829" t="s">
        <v>77</v>
      </c>
      <c r="M829" t="s">
        <v>78</v>
      </c>
      <c r="N829" t="s">
        <v>3300</v>
      </c>
      <c r="O829" t="s">
        <v>3301</v>
      </c>
      <c r="P829" t="s">
        <v>3446</v>
      </c>
      <c r="AB829">
        <v>3</v>
      </c>
      <c r="AF829" t="s">
        <v>314</v>
      </c>
      <c r="AG829" t="s">
        <v>296</v>
      </c>
      <c r="AH829" t="s">
        <v>314</v>
      </c>
      <c r="AJ829">
        <v>0</v>
      </c>
      <c r="AK829">
        <v>0</v>
      </c>
      <c r="AL829">
        <v>0</v>
      </c>
      <c r="AM829">
        <v>0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0.45</v>
      </c>
      <c r="AT829">
        <v>0</v>
      </c>
      <c r="AU829">
        <v>0</v>
      </c>
      <c r="AV829">
        <v>115.5</v>
      </c>
      <c r="AW829">
        <v>0</v>
      </c>
      <c r="AX829">
        <v>0</v>
      </c>
      <c r="AY829">
        <v>0</v>
      </c>
      <c r="AZ829">
        <v>0</v>
      </c>
      <c r="BA829">
        <v>0</v>
      </c>
      <c r="BB829">
        <v>0</v>
      </c>
      <c r="BC829">
        <v>0</v>
      </c>
      <c r="BD829">
        <v>327.24</v>
      </c>
      <c r="BE829">
        <v>0</v>
      </c>
      <c r="BF829">
        <v>120</v>
      </c>
      <c r="BG829">
        <v>0</v>
      </c>
      <c r="BH829">
        <v>0</v>
      </c>
      <c r="BI829">
        <v>24</v>
      </c>
      <c r="BJ829">
        <v>0</v>
      </c>
      <c r="BK829">
        <v>0</v>
      </c>
      <c r="BL829">
        <v>0</v>
      </c>
      <c r="BM829">
        <v>0</v>
      </c>
      <c r="BN829">
        <v>587.19000000000005</v>
      </c>
      <c r="BO829">
        <v>93.95</v>
      </c>
      <c r="BP829">
        <v>18.87</v>
      </c>
      <c r="BQ829">
        <f t="shared" si="12"/>
        <v>662.2700000000001</v>
      </c>
      <c r="BR829" t="s">
        <v>117</v>
      </c>
    </row>
    <row r="830" spans="1:70">
      <c r="A830" t="s">
        <v>3456</v>
      </c>
      <c r="B830" t="s">
        <v>3457</v>
      </c>
      <c r="C830" t="s">
        <v>71</v>
      </c>
      <c r="D830" t="s">
        <v>289</v>
      </c>
      <c r="E830" t="s">
        <v>73</v>
      </c>
      <c r="F830" t="s">
        <v>74</v>
      </c>
      <c r="G830">
        <v>242444</v>
      </c>
      <c r="H830" t="s">
        <v>74</v>
      </c>
      <c r="I830" t="s">
        <v>75</v>
      </c>
      <c r="J830" t="s">
        <v>74</v>
      </c>
      <c r="K830" t="s">
        <v>3458</v>
      </c>
      <c r="L830" t="s">
        <v>77</v>
      </c>
      <c r="M830" t="s">
        <v>78</v>
      </c>
      <c r="N830" t="s">
        <v>203</v>
      </c>
      <c r="O830" t="s">
        <v>3459</v>
      </c>
      <c r="P830" t="s">
        <v>3446</v>
      </c>
      <c r="AB830">
        <v>3</v>
      </c>
      <c r="AF830" t="s">
        <v>314</v>
      </c>
      <c r="AG830" t="s">
        <v>296</v>
      </c>
      <c r="AH830" t="s">
        <v>314</v>
      </c>
      <c r="AJ830">
        <v>0</v>
      </c>
      <c r="AK830">
        <v>0</v>
      </c>
      <c r="AL830">
        <v>0</v>
      </c>
      <c r="AM830">
        <v>0</v>
      </c>
      <c r="AN830">
        <v>0</v>
      </c>
      <c r="AO830">
        <v>0</v>
      </c>
      <c r="AP830">
        <v>0</v>
      </c>
      <c r="AQ830">
        <v>0</v>
      </c>
      <c r="AR830">
        <v>0</v>
      </c>
      <c r="AS830">
        <v>0.45</v>
      </c>
      <c r="AT830">
        <v>0</v>
      </c>
      <c r="AU830">
        <v>0</v>
      </c>
      <c r="AV830">
        <v>0</v>
      </c>
      <c r="AW830">
        <v>0</v>
      </c>
      <c r="AX830">
        <v>0</v>
      </c>
      <c r="AY830">
        <v>0</v>
      </c>
      <c r="AZ830">
        <v>0</v>
      </c>
      <c r="BA830">
        <v>0</v>
      </c>
      <c r="BB830">
        <v>0</v>
      </c>
      <c r="BC830">
        <v>0</v>
      </c>
      <c r="BD830">
        <v>327.24</v>
      </c>
      <c r="BE830">
        <v>0</v>
      </c>
      <c r="BF830">
        <v>120</v>
      </c>
      <c r="BG830">
        <v>0</v>
      </c>
      <c r="BH830">
        <v>0</v>
      </c>
      <c r="BI830">
        <v>24</v>
      </c>
      <c r="BJ830">
        <v>0</v>
      </c>
      <c r="BK830">
        <v>0</v>
      </c>
      <c r="BL830">
        <v>0</v>
      </c>
      <c r="BM830">
        <v>0</v>
      </c>
      <c r="BN830">
        <v>471.69</v>
      </c>
      <c r="BO830">
        <v>75.47</v>
      </c>
      <c r="BP830">
        <v>18.87</v>
      </c>
      <c r="BQ830">
        <f t="shared" si="12"/>
        <v>528.29</v>
      </c>
      <c r="BR830" t="s">
        <v>203</v>
      </c>
    </row>
    <row r="831" spans="1:70">
      <c r="A831" t="s">
        <v>3460</v>
      </c>
      <c r="B831" t="s">
        <v>3461</v>
      </c>
      <c r="C831" t="s">
        <v>71</v>
      </c>
      <c r="D831" t="s">
        <v>289</v>
      </c>
      <c r="E831" t="s">
        <v>73</v>
      </c>
      <c r="F831" t="s">
        <v>74</v>
      </c>
      <c r="G831" t="s">
        <v>3462</v>
      </c>
      <c r="H831" t="s">
        <v>74</v>
      </c>
      <c r="I831" t="s">
        <v>75</v>
      </c>
      <c r="J831" t="s">
        <v>74</v>
      </c>
      <c r="K831" t="s">
        <v>3463</v>
      </c>
      <c r="L831" t="s">
        <v>77</v>
      </c>
      <c r="M831" t="s">
        <v>78</v>
      </c>
      <c r="N831" t="s">
        <v>438</v>
      </c>
      <c r="O831" t="s">
        <v>946</v>
      </c>
      <c r="P831" t="s">
        <v>3446</v>
      </c>
      <c r="AD831">
        <v>4</v>
      </c>
      <c r="AF831" t="s">
        <v>326</v>
      </c>
      <c r="AG831" t="s">
        <v>296</v>
      </c>
      <c r="AH831" t="s">
        <v>326</v>
      </c>
      <c r="AJ831">
        <v>0</v>
      </c>
      <c r="AK831">
        <v>0</v>
      </c>
      <c r="AL831">
        <v>0</v>
      </c>
      <c r="AM831">
        <v>0</v>
      </c>
      <c r="AN831">
        <v>0</v>
      </c>
      <c r="AO831">
        <v>0</v>
      </c>
      <c r="AP831">
        <v>0</v>
      </c>
      <c r="AQ831">
        <v>0</v>
      </c>
      <c r="AR831">
        <v>0</v>
      </c>
      <c r="AS831">
        <v>0.6</v>
      </c>
      <c r="AT831">
        <v>0</v>
      </c>
      <c r="AU831">
        <v>0</v>
      </c>
      <c r="AV831">
        <v>0</v>
      </c>
      <c r="AW831">
        <v>0</v>
      </c>
      <c r="AX831">
        <v>0</v>
      </c>
      <c r="AY831">
        <v>0</v>
      </c>
      <c r="AZ831">
        <v>0</v>
      </c>
      <c r="BA831">
        <v>0</v>
      </c>
      <c r="BB831">
        <v>0</v>
      </c>
      <c r="BC831">
        <v>0</v>
      </c>
      <c r="BD831">
        <v>231.4</v>
      </c>
      <c r="BE831">
        <v>0</v>
      </c>
      <c r="BF831">
        <v>160</v>
      </c>
      <c r="BG831">
        <v>0</v>
      </c>
      <c r="BH831">
        <v>0</v>
      </c>
      <c r="BI831">
        <v>32</v>
      </c>
      <c r="BJ831">
        <v>0</v>
      </c>
      <c r="BK831">
        <v>0</v>
      </c>
      <c r="BL831">
        <v>0</v>
      </c>
      <c r="BM831">
        <v>0</v>
      </c>
      <c r="BN831">
        <v>424</v>
      </c>
      <c r="BO831">
        <v>67.84</v>
      </c>
      <c r="BP831">
        <v>16.96</v>
      </c>
      <c r="BQ831">
        <f t="shared" si="12"/>
        <v>474.88000000000005</v>
      </c>
      <c r="BR831" t="s">
        <v>440</v>
      </c>
    </row>
    <row r="832" spans="1:70">
      <c r="A832" t="s">
        <v>3464</v>
      </c>
      <c r="B832" t="s">
        <v>3465</v>
      </c>
      <c r="C832" t="s">
        <v>71</v>
      </c>
      <c r="D832" t="s">
        <v>289</v>
      </c>
      <c r="E832" t="s">
        <v>73</v>
      </c>
      <c r="F832" t="s">
        <v>74</v>
      </c>
      <c r="G832">
        <v>242446</v>
      </c>
      <c r="H832" t="s">
        <v>74</v>
      </c>
      <c r="I832" t="s">
        <v>75</v>
      </c>
      <c r="J832" t="s">
        <v>74</v>
      </c>
      <c r="K832" t="s">
        <v>3466</v>
      </c>
      <c r="L832" t="s">
        <v>77</v>
      </c>
      <c r="M832" t="s">
        <v>78</v>
      </c>
      <c r="N832" t="s">
        <v>438</v>
      </c>
      <c r="O832" t="s">
        <v>1945</v>
      </c>
      <c r="P832" t="s">
        <v>3446</v>
      </c>
      <c r="X832">
        <v>6</v>
      </c>
      <c r="AF832" t="s">
        <v>400</v>
      </c>
      <c r="AG832" t="s">
        <v>296</v>
      </c>
      <c r="AH832" t="s">
        <v>400</v>
      </c>
      <c r="AJ832">
        <v>0</v>
      </c>
      <c r="AK832">
        <v>0</v>
      </c>
      <c r="AL832">
        <v>0</v>
      </c>
      <c r="AM832">
        <v>0</v>
      </c>
      <c r="AN832">
        <v>0</v>
      </c>
      <c r="AO832">
        <v>0</v>
      </c>
      <c r="AP832">
        <v>0</v>
      </c>
      <c r="AQ832">
        <v>0</v>
      </c>
      <c r="AR832">
        <v>0</v>
      </c>
      <c r="AS832">
        <v>0.9</v>
      </c>
      <c r="AT832">
        <v>0</v>
      </c>
      <c r="AU832">
        <v>0</v>
      </c>
      <c r="AV832">
        <v>0</v>
      </c>
      <c r="AW832">
        <v>0</v>
      </c>
      <c r="AX832">
        <v>0</v>
      </c>
      <c r="AY832">
        <v>0</v>
      </c>
      <c r="AZ832">
        <v>0</v>
      </c>
      <c r="BA832">
        <v>0</v>
      </c>
      <c r="BB832">
        <v>0</v>
      </c>
      <c r="BC832">
        <v>0</v>
      </c>
      <c r="BD832">
        <v>92.7</v>
      </c>
      <c r="BE832">
        <v>0</v>
      </c>
      <c r="BF832">
        <v>240</v>
      </c>
      <c r="BG832">
        <v>0</v>
      </c>
      <c r="BH832">
        <v>0</v>
      </c>
      <c r="BI832">
        <v>48</v>
      </c>
      <c r="BJ832">
        <v>0</v>
      </c>
      <c r="BK832">
        <v>0</v>
      </c>
      <c r="BL832">
        <v>0</v>
      </c>
      <c r="BM832">
        <v>0</v>
      </c>
      <c r="BN832">
        <v>381.6</v>
      </c>
      <c r="BO832">
        <v>61.05</v>
      </c>
      <c r="BP832">
        <v>15.27</v>
      </c>
      <c r="BQ832">
        <f t="shared" si="12"/>
        <v>427.38000000000005</v>
      </c>
      <c r="BR832" t="s">
        <v>440</v>
      </c>
    </row>
    <row r="833" spans="1:70">
      <c r="A833" t="s">
        <v>3467</v>
      </c>
      <c r="B833" t="s">
        <v>3468</v>
      </c>
      <c r="C833" t="s">
        <v>71</v>
      </c>
      <c r="D833" t="s">
        <v>289</v>
      </c>
      <c r="E833" t="s">
        <v>73</v>
      </c>
      <c r="F833" t="s">
        <v>74</v>
      </c>
      <c r="G833">
        <v>242448</v>
      </c>
      <c r="H833" t="s">
        <v>74</v>
      </c>
      <c r="I833" t="s">
        <v>75</v>
      </c>
      <c r="J833" t="s">
        <v>74</v>
      </c>
      <c r="K833" t="s">
        <v>3469</v>
      </c>
      <c r="L833" t="s">
        <v>77</v>
      </c>
      <c r="M833" t="s">
        <v>78</v>
      </c>
      <c r="N833" t="s">
        <v>406</v>
      </c>
      <c r="O833" t="s">
        <v>3470</v>
      </c>
      <c r="P833" t="s">
        <v>3446</v>
      </c>
      <c r="AD833">
        <v>4</v>
      </c>
      <c r="AF833" t="s">
        <v>326</v>
      </c>
      <c r="AG833" t="s">
        <v>296</v>
      </c>
      <c r="AH833" t="s">
        <v>326</v>
      </c>
      <c r="AJ833">
        <v>0</v>
      </c>
      <c r="AK833">
        <v>0</v>
      </c>
      <c r="AL833">
        <v>0</v>
      </c>
      <c r="AM833">
        <v>0</v>
      </c>
      <c r="AN833">
        <v>0</v>
      </c>
      <c r="AO833">
        <v>0</v>
      </c>
      <c r="AP833">
        <v>0</v>
      </c>
      <c r="AQ833">
        <v>0</v>
      </c>
      <c r="AR833">
        <v>0</v>
      </c>
      <c r="AS833">
        <v>0.6</v>
      </c>
      <c r="AT833">
        <v>0</v>
      </c>
      <c r="AU833">
        <v>0</v>
      </c>
      <c r="AV833">
        <v>0</v>
      </c>
      <c r="AW833">
        <v>0</v>
      </c>
      <c r="AX833">
        <v>0</v>
      </c>
      <c r="AY833">
        <v>0</v>
      </c>
      <c r="AZ833">
        <v>0</v>
      </c>
      <c r="BA833">
        <v>0</v>
      </c>
      <c r="BB833">
        <v>0</v>
      </c>
      <c r="BC833">
        <v>0</v>
      </c>
      <c r="BD833">
        <v>231.4</v>
      </c>
      <c r="BE833">
        <v>0</v>
      </c>
      <c r="BF833">
        <v>160</v>
      </c>
      <c r="BG833">
        <v>0</v>
      </c>
      <c r="BH833">
        <v>0</v>
      </c>
      <c r="BI833">
        <v>32</v>
      </c>
      <c r="BJ833">
        <v>0</v>
      </c>
      <c r="BK833">
        <v>0</v>
      </c>
      <c r="BL833">
        <v>0</v>
      </c>
      <c r="BM833">
        <v>0</v>
      </c>
      <c r="BN833">
        <v>424</v>
      </c>
      <c r="BO833">
        <v>67.84</v>
      </c>
      <c r="BP833">
        <v>16.96</v>
      </c>
      <c r="BQ833">
        <f t="shared" si="12"/>
        <v>474.88000000000005</v>
      </c>
      <c r="BR833" t="s">
        <v>406</v>
      </c>
    </row>
    <row r="834" spans="1:70">
      <c r="A834" t="s">
        <v>3471</v>
      </c>
      <c r="B834" t="s">
        <v>3472</v>
      </c>
      <c r="C834" t="s">
        <v>71</v>
      </c>
      <c r="D834" t="s">
        <v>289</v>
      </c>
      <c r="E834" t="s">
        <v>73</v>
      </c>
      <c r="F834" t="s">
        <v>74</v>
      </c>
      <c r="G834">
        <v>242459</v>
      </c>
      <c r="H834" t="s">
        <v>74</v>
      </c>
      <c r="I834" t="s">
        <v>75</v>
      </c>
      <c r="J834" t="s">
        <v>74</v>
      </c>
      <c r="K834" t="s">
        <v>3473</v>
      </c>
      <c r="L834" t="s">
        <v>77</v>
      </c>
      <c r="M834" t="s">
        <v>78</v>
      </c>
      <c r="N834" t="s">
        <v>438</v>
      </c>
      <c r="O834" t="s">
        <v>3474</v>
      </c>
      <c r="P834" t="s">
        <v>3446</v>
      </c>
      <c r="Z834">
        <v>2</v>
      </c>
      <c r="AF834" t="s">
        <v>339</v>
      </c>
      <c r="AG834" t="s">
        <v>296</v>
      </c>
      <c r="AH834" t="s">
        <v>339</v>
      </c>
      <c r="AJ834">
        <v>0</v>
      </c>
      <c r="AK834">
        <v>0</v>
      </c>
      <c r="AL834">
        <v>0</v>
      </c>
      <c r="AM834">
        <v>0</v>
      </c>
      <c r="AN834">
        <v>0</v>
      </c>
      <c r="AO834">
        <v>0</v>
      </c>
      <c r="AP834">
        <v>0</v>
      </c>
      <c r="AQ834">
        <v>0</v>
      </c>
      <c r="AR834">
        <v>0</v>
      </c>
      <c r="AS834">
        <v>0.3</v>
      </c>
      <c r="AT834">
        <v>0</v>
      </c>
      <c r="AU834">
        <v>0</v>
      </c>
      <c r="AV834">
        <v>0</v>
      </c>
      <c r="AW834">
        <v>0</v>
      </c>
      <c r="AX834">
        <v>0</v>
      </c>
      <c r="AY834">
        <v>0</v>
      </c>
      <c r="AZ834">
        <v>0</v>
      </c>
      <c r="BA834">
        <v>0</v>
      </c>
      <c r="BB834">
        <v>0</v>
      </c>
      <c r="BC834">
        <v>0</v>
      </c>
      <c r="BD834">
        <v>327.7</v>
      </c>
      <c r="BE834">
        <v>0</v>
      </c>
      <c r="BF834">
        <v>80</v>
      </c>
      <c r="BG834">
        <v>0</v>
      </c>
      <c r="BH834">
        <v>0</v>
      </c>
      <c r="BI834">
        <v>16</v>
      </c>
      <c r="BJ834">
        <v>0</v>
      </c>
      <c r="BK834">
        <v>0</v>
      </c>
      <c r="BL834">
        <v>0</v>
      </c>
      <c r="BM834">
        <v>0</v>
      </c>
      <c r="BN834">
        <v>424</v>
      </c>
      <c r="BO834">
        <v>67.84</v>
      </c>
      <c r="BP834">
        <v>16.96</v>
      </c>
      <c r="BQ834">
        <f t="shared" ref="BQ834:BQ897" si="13">(BN834+BO834-BP834)</f>
        <v>474.88000000000005</v>
      </c>
      <c r="BR834" t="s">
        <v>440</v>
      </c>
    </row>
    <row r="835" spans="1:70">
      <c r="A835" t="s">
        <v>3475</v>
      </c>
      <c r="B835" t="s">
        <v>3476</v>
      </c>
      <c r="C835" t="s">
        <v>71</v>
      </c>
      <c r="D835" t="s">
        <v>289</v>
      </c>
      <c r="E835" t="s">
        <v>73</v>
      </c>
      <c r="F835" t="s">
        <v>74</v>
      </c>
      <c r="G835">
        <v>242462</v>
      </c>
      <c r="H835" t="s">
        <v>74</v>
      </c>
      <c r="I835" t="s">
        <v>75</v>
      </c>
      <c r="J835" t="s">
        <v>74</v>
      </c>
      <c r="K835" t="s">
        <v>3477</v>
      </c>
      <c r="L835" t="s">
        <v>77</v>
      </c>
      <c r="M835" t="s">
        <v>78</v>
      </c>
      <c r="N835" t="s">
        <v>330</v>
      </c>
      <c r="O835" t="s">
        <v>568</v>
      </c>
      <c r="P835" t="s">
        <v>3446</v>
      </c>
      <c r="X835">
        <v>13</v>
      </c>
      <c r="AF835" t="s">
        <v>434</v>
      </c>
      <c r="AG835" t="s">
        <v>296</v>
      </c>
      <c r="AH835" t="s">
        <v>434</v>
      </c>
      <c r="AJ835">
        <v>0</v>
      </c>
      <c r="AK835">
        <v>0</v>
      </c>
      <c r="AL835">
        <v>0</v>
      </c>
      <c r="AM835">
        <v>0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1.95</v>
      </c>
      <c r="AT835">
        <v>0</v>
      </c>
      <c r="AU835">
        <v>0</v>
      </c>
      <c r="AV835">
        <v>0</v>
      </c>
      <c r="AW835">
        <v>0</v>
      </c>
      <c r="AX835">
        <v>0</v>
      </c>
      <c r="AY835">
        <v>0</v>
      </c>
      <c r="AZ835">
        <v>0</v>
      </c>
      <c r="BA835">
        <v>0</v>
      </c>
      <c r="BB835">
        <v>0</v>
      </c>
      <c r="BC835">
        <v>0</v>
      </c>
      <c r="BD835">
        <v>600.47</v>
      </c>
      <c r="BE835">
        <v>0</v>
      </c>
      <c r="BF835">
        <v>520</v>
      </c>
      <c r="BG835">
        <v>0</v>
      </c>
      <c r="BH835">
        <v>0</v>
      </c>
      <c r="BI835">
        <v>104</v>
      </c>
      <c r="BJ835">
        <v>0</v>
      </c>
      <c r="BK835">
        <v>0</v>
      </c>
      <c r="BL835">
        <v>0</v>
      </c>
      <c r="BM835">
        <v>0</v>
      </c>
      <c r="BN835">
        <v>1226.42</v>
      </c>
      <c r="BO835">
        <v>196.23</v>
      </c>
      <c r="BP835">
        <v>49.06</v>
      </c>
      <c r="BQ835">
        <f t="shared" si="13"/>
        <v>1373.5900000000001</v>
      </c>
      <c r="BR835" t="s">
        <v>332</v>
      </c>
    </row>
    <row r="836" spans="1:70">
      <c r="A836" t="s">
        <v>3478</v>
      </c>
      <c r="B836" t="s">
        <v>3479</v>
      </c>
      <c r="C836" t="s">
        <v>71</v>
      </c>
      <c r="D836" t="s">
        <v>289</v>
      </c>
      <c r="E836" t="s">
        <v>73</v>
      </c>
      <c r="F836" t="s">
        <v>74</v>
      </c>
      <c r="G836">
        <v>242463</v>
      </c>
      <c r="H836" t="s">
        <v>74</v>
      </c>
      <c r="I836" t="s">
        <v>75</v>
      </c>
      <c r="J836" t="s">
        <v>74</v>
      </c>
      <c r="K836" t="s">
        <v>3480</v>
      </c>
      <c r="L836" t="s">
        <v>77</v>
      </c>
      <c r="M836" t="s">
        <v>78</v>
      </c>
      <c r="N836" t="s">
        <v>349</v>
      </c>
      <c r="O836" t="s">
        <v>3481</v>
      </c>
      <c r="P836" t="s">
        <v>3446</v>
      </c>
      <c r="AD836">
        <v>4</v>
      </c>
      <c r="AF836" t="s">
        <v>326</v>
      </c>
      <c r="AG836" t="s">
        <v>296</v>
      </c>
      <c r="AH836" t="s">
        <v>326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0.6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0</v>
      </c>
      <c r="AZ836">
        <v>0</v>
      </c>
      <c r="BA836">
        <v>0</v>
      </c>
      <c r="BB836">
        <v>0</v>
      </c>
      <c r="BC836">
        <v>0</v>
      </c>
      <c r="BD836">
        <v>279.12</v>
      </c>
      <c r="BE836">
        <v>0</v>
      </c>
      <c r="BF836">
        <v>160</v>
      </c>
      <c r="BG836">
        <v>0</v>
      </c>
      <c r="BH836">
        <v>0</v>
      </c>
      <c r="BI836">
        <v>32</v>
      </c>
      <c r="BJ836">
        <v>0</v>
      </c>
      <c r="BK836">
        <v>0</v>
      </c>
      <c r="BL836">
        <v>0</v>
      </c>
      <c r="BM836">
        <v>0</v>
      </c>
      <c r="BN836">
        <v>471.72</v>
      </c>
      <c r="BO836">
        <v>75.48</v>
      </c>
      <c r="BP836">
        <v>18.86</v>
      </c>
      <c r="BQ836">
        <f t="shared" si="13"/>
        <v>528.34</v>
      </c>
      <c r="BR836" t="s">
        <v>349</v>
      </c>
    </row>
    <row r="837" spans="1:70">
      <c r="A837" t="s">
        <v>3482</v>
      </c>
      <c r="B837" t="s">
        <v>3483</v>
      </c>
      <c r="C837" t="s">
        <v>71</v>
      </c>
      <c r="D837" t="s">
        <v>289</v>
      </c>
      <c r="E837" t="s">
        <v>73</v>
      </c>
      <c r="F837" t="s">
        <v>1183</v>
      </c>
      <c r="G837">
        <v>242468</v>
      </c>
      <c r="H837" t="s">
        <v>74</v>
      </c>
      <c r="I837" t="s">
        <v>75</v>
      </c>
      <c r="J837" t="s">
        <v>74</v>
      </c>
      <c r="K837" t="s">
        <v>3484</v>
      </c>
      <c r="L837" t="s">
        <v>77</v>
      </c>
      <c r="M837" t="s">
        <v>78</v>
      </c>
      <c r="N837" t="s">
        <v>3485</v>
      </c>
      <c r="O837" t="s">
        <v>3486</v>
      </c>
      <c r="P837" t="s">
        <v>3446</v>
      </c>
      <c r="T837">
        <v>1</v>
      </c>
      <c r="AF837" t="s">
        <v>823</v>
      </c>
      <c r="AG837" t="s">
        <v>296</v>
      </c>
      <c r="AH837" t="s">
        <v>823</v>
      </c>
      <c r="AJ837">
        <v>0</v>
      </c>
      <c r="AK837">
        <v>0</v>
      </c>
      <c r="AL837">
        <v>0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36.46</v>
      </c>
      <c r="AT837">
        <v>0</v>
      </c>
      <c r="AU837">
        <v>0</v>
      </c>
      <c r="AV837">
        <v>0</v>
      </c>
      <c r="AW837">
        <v>0</v>
      </c>
      <c r="AX837">
        <v>0</v>
      </c>
      <c r="AY837">
        <v>0</v>
      </c>
      <c r="AZ837">
        <v>0</v>
      </c>
      <c r="BA837">
        <v>0</v>
      </c>
      <c r="BB837">
        <v>0</v>
      </c>
      <c r="BC837">
        <v>0</v>
      </c>
      <c r="BD837">
        <v>2293.8200000000002</v>
      </c>
      <c r="BE837">
        <v>0</v>
      </c>
      <c r="BF837">
        <v>458.08</v>
      </c>
      <c r="BG837">
        <v>0</v>
      </c>
      <c r="BH837">
        <v>0</v>
      </c>
      <c r="BI837">
        <v>421.62</v>
      </c>
      <c r="BJ837">
        <v>0</v>
      </c>
      <c r="BK837">
        <v>0</v>
      </c>
      <c r="BL837">
        <v>0</v>
      </c>
      <c r="BM837">
        <v>0</v>
      </c>
      <c r="BN837">
        <v>3209.98</v>
      </c>
      <c r="BO837">
        <v>513.59</v>
      </c>
      <c r="BP837">
        <v>128.38999999999999</v>
      </c>
      <c r="BQ837">
        <f t="shared" si="13"/>
        <v>3595.1800000000003</v>
      </c>
      <c r="BR837" t="s">
        <v>3485</v>
      </c>
    </row>
    <row r="838" spans="1:70">
      <c r="A838" t="s">
        <v>3487</v>
      </c>
      <c r="B838" t="s">
        <v>3488</v>
      </c>
      <c r="C838" t="s">
        <v>71</v>
      </c>
      <c r="D838" t="s">
        <v>289</v>
      </c>
      <c r="E838" t="s">
        <v>73</v>
      </c>
      <c r="F838" t="s">
        <v>74</v>
      </c>
      <c r="G838" t="s">
        <v>3489</v>
      </c>
      <c r="H838" t="s">
        <v>74</v>
      </c>
      <c r="I838" t="s">
        <v>75</v>
      </c>
      <c r="J838" t="s">
        <v>74</v>
      </c>
      <c r="K838" t="s">
        <v>3490</v>
      </c>
      <c r="L838" t="s">
        <v>77</v>
      </c>
      <c r="M838" t="s">
        <v>78</v>
      </c>
      <c r="N838" t="s">
        <v>229</v>
      </c>
      <c r="O838" t="s">
        <v>3491</v>
      </c>
      <c r="P838" t="s">
        <v>3446</v>
      </c>
      <c r="X838">
        <v>17</v>
      </c>
      <c r="AF838" t="s">
        <v>464</v>
      </c>
      <c r="AG838" t="s">
        <v>296</v>
      </c>
      <c r="AH838" t="s">
        <v>464</v>
      </c>
      <c r="AJ838">
        <v>0</v>
      </c>
      <c r="AK838">
        <v>0</v>
      </c>
      <c r="AL838">
        <v>0</v>
      </c>
      <c r="AM838">
        <v>0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2.5499999999999998</v>
      </c>
      <c r="AT838">
        <v>0</v>
      </c>
      <c r="AU838">
        <v>0</v>
      </c>
      <c r="AV838">
        <v>0</v>
      </c>
      <c r="AW838">
        <v>0</v>
      </c>
      <c r="AX838">
        <v>0</v>
      </c>
      <c r="AY838">
        <v>0</v>
      </c>
      <c r="AZ838">
        <v>0</v>
      </c>
      <c r="BA838">
        <v>0</v>
      </c>
      <c r="BB838">
        <v>0</v>
      </c>
      <c r="BC838">
        <v>0</v>
      </c>
      <c r="BD838">
        <v>785.23</v>
      </c>
      <c r="BE838">
        <v>0</v>
      </c>
      <c r="BF838">
        <v>680</v>
      </c>
      <c r="BG838">
        <v>0</v>
      </c>
      <c r="BH838">
        <v>0</v>
      </c>
      <c r="BI838">
        <v>136</v>
      </c>
      <c r="BJ838">
        <v>0</v>
      </c>
      <c r="BK838">
        <v>0</v>
      </c>
      <c r="BL838">
        <v>0</v>
      </c>
      <c r="BM838">
        <v>0</v>
      </c>
      <c r="BN838">
        <v>1603.78</v>
      </c>
      <c r="BO838">
        <v>256.61</v>
      </c>
      <c r="BP838">
        <v>64.150000000000006</v>
      </c>
      <c r="BQ838">
        <f t="shared" si="13"/>
        <v>1796.2399999999998</v>
      </c>
      <c r="BR838" t="s">
        <v>229</v>
      </c>
    </row>
    <row r="839" spans="1:70">
      <c r="A839" t="s">
        <v>3492</v>
      </c>
      <c r="B839" t="s">
        <v>3493</v>
      </c>
      <c r="C839" t="s">
        <v>71</v>
      </c>
      <c r="D839" t="s">
        <v>289</v>
      </c>
      <c r="E839" t="s">
        <v>73</v>
      </c>
      <c r="F839" t="s">
        <v>74</v>
      </c>
      <c r="G839">
        <v>242476</v>
      </c>
      <c r="H839" t="s">
        <v>74</v>
      </c>
      <c r="I839" t="s">
        <v>75</v>
      </c>
      <c r="J839" t="s">
        <v>74</v>
      </c>
      <c r="K839" t="s">
        <v>3494</v>
      </c>
      <c r="L839" t="s">
        <v>77</v>
      </c>
      <c r="M839" t="s">
        <v>78</v>
      </c>
      <c r="N839" t="s">
        <v>653</v>
      </c>
      <c r="O839" t="s">
        <v>2282</v>
      </c>
      <c r="P839" t="s">
        <v>3446</v>
      </c>
      <c r="X839">
        <v>9</v>
      </c>
      <c r="AF839" t="s">
        <v>407</v>
      </c>
      <c r="AG839" t="s">
        <v>296</v>
      </c>
      <c r="AH839" t="s">
        <v>407</v>
      </c>
      <c r="AJ839">
        <v>0</v>
      </c>
      <c r="AK839">
        <v>0</v>
      </c>
      <c r="AL839">
        <v>0</v>
      </c>
      <c r="AM839">
        <v>0</v>
      </c>
      <c r="AN839">
        <v>0</v>
      </c>
      <c r="AO839">
        <v>0</v>
      </c>
      <c r="AP839">
        <v>0</v>
      </c>
      <c r="AQ839">
        <v>0</v>
      </c>
      <c r="AR839">
        <v>0</v>
      </c>
      <c r="AS839">
        <v>1.35</v>
      </c>
      <c r="AT839">
        <v>0</v>
      </c>
      <c r="AU839">
        <v>0</v>
      </c>
      <c r="AV839">
        <v>0</v>
      </c>
      <c r="AW839">
        <v>0</v>
      </c>
      <c r="AX839">
        <v>0</v>
      </c>
      <c r="AY839">
        <v>0</v>
      </c>
      <c r="AZ839">
        <v>0</v>
      </c>
      <c r="BA839">
        <v>0</v>
      </c>
      <c r="BB839">
        <v>0</v>
      </c>
      <c r="BC839">
        <v>0</v>
      </c>
      <c r="BD839">
        <v>139.05000000000001</v>
      </c>
      <c r="BE839">
        <v>0</v>
      </c>
      <c r="BF839">
        <v>360</v>
      </c>
      <c r="BG839">
        <v>0</v>
      </c>
      <c r="BH839">
        <v>0</v>
      </c>
      <c r="BI839">
        <v>72</v>
      </c>
      <c r="BJ839">
        <v>0</v>
      </c>
      <c r="BK839">
        <v>0</v>
      </c>
      <c r="BL839">
        <v>0</v>
      </c>
      <c r="BM839">
        <v>0</v>
      </c>
      <c r="BN839">
        <v>572.4</v>
      </c>
      <c r="BO839">
        <v>91.59</v>
      </c>
      <c r="BP839">
        <v>22.89</v>
      </c>
      <c r="BQ839">
        <f t="shared" si="13"/>
        <v>641.1</v>
      </c>
      <c r="BR839" t="s">
        <v>119</v>
      </c>
    </row>
    <row r="840" spans="1:70">
      <c r="A840" t="s">
        <v>3495</v>
      </c>
      <c r="B840" t="s">
        <v>3496</v>
      </c>
      <c r="C840" t="s">
        <v>71</v>
      </c>
      <c r="D840" t="s">
        <v>289</v>
      </c>
      <c r="E840" t="s">
        <v>73</v>
      </c>
      <c r="F840" t="s">
        <v>74</v>
      </c>
      <c r="G840">
        <v>242477</v>
      </c>
      <c r="H840" t="s">
        <v>74</v>
      </c>
      <c r="I840" t="s">
        <v>75</v>
      </c>
      <c r="J840" t="s">
        <v>74</v>
      </c>
      <c r="K840" t="s">
        <v>3497</v>
      </c>
      <c r="L840" t="s">
        <v>77</v>
      </c>
      <c r="M840" t="s">
        <v>78</v>
      </c>
      <c r="N840" t="s">
        <v>421</v>
      </c>
      <c r="O840" t="s">
        <v>1267</v>
      </c>
      <c r="P840" t="s">
        <v>3446</v>
      </c>
      <c r="X840">
        <v>8</v>
      </c>
      <c r="AF840" t="s">
        <v>1006</v>
      </c>
      <c r="AG840" t="s">
        <v>296</v>
      </c>
      <c r="AH840" t="s">
        <v>1006</v>
      </c>
      <c r="AJ840">
        <v>0</v>
      </c>
      <c r="AK840">
        <v>0</v>
      </c>
      <c r="AL840">
        <v>0</v>
      </c>
      <c r="AM840">
        <v>0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1.2</v>
      </c>
      <c r="AT840">
        <v>0</v>
      </c>
      <c r="AU840">
        <v>0</v>
      </c>
      <c r="AV840">
        <v>0</v>
      </c>
      <c r="AW840">
        <v>0</v>
      </c>
      <c r="AX840">
        <v>0</v>
      </c>
      <c r="AY840">
        <v>0</v>
      </c>
      <c r="AZ840">
        <v>0</v>
      </c>
      <c r="BA840">
        <v>0</v>
      </c>
      <c r="BB840">
        <v>0</v>
      </c>
      <c r="BC840">
        <v>0</v>
      </c>
      <c r="BD840">
        <v>369.52</v>
      </c>
      <c r="BE840">
        <v>0</v>
      </c>
      <c r="BF840">
        <v>320</v>
      </c>
      <c r="BG840">
        <v>0</v>
      </c>
      <c r="BH840">
        <v>0</v>
      </c>
      <c r="BI840">
        <v>64</v>
      </c>
      <c r="BJ840">
        <v>0</v>
      </c>
      <c r="BK840">
        <v>0</v>
      </c>
      <c r="BL840">
        <v>0</v>
      </c>
      <c r="BM840">
        <v>0</v>
      </c>
      <c r="BN840">
        <v>754.72</v>
      </c>
      <c r="BO840">
        <v>120.75</v>
      </c>
      <c r="BP840">
        <v>30.19</v>
      </c>
      <c r="BQ840">
        <f t="shared" si="13"/>
        <v>845.28</v>
      </c>
      <c r="BR840" t="s">
        <v>423</v>
      </c>
    </row>
    <row r="841" spans="1:70">
      <c r="A841" t="s">
        <v>3498</v>
      </c>
      <c r="B841" t="s">
        <v>3499</v>
      </c>
      <c r="C841" t="s">
        <v>71</v>
      </c>
      <c r="D841" t="s">
        <v>289</v>
      </c>
      <c r="E841" t="s">
        <v>73</v>
      </c>
      <c r="F841" t="s">
        <v>74</v>
      </c>
      <c r="G841">
        <v>242481</v>
      </c>
      <c r="H841" t="s">
        <v>74</v>
      </c>
      <c r="I841" t="s">
        <v>75</v>
      </c>
      <c r="J841" t="s">
        <v>74</v>
      </c>
      <c r="K841" t="s">
        <v>3500</v>
      </c>
      <c r="L841" t="s">
        <v>77</v>
      </c>
      <c r="M841" t="s">
        <v>78</v>
      </c>
      <c r="N841" t="s">
        <v>432</v>
      </c>
      <c r="O841" t="s">
        <v>3501</v>
      </c>
      <c r="P841" t="s">
        <v>3446</v>
      </c>
      <c r="X841">
        <v>10</v>
      </c>
      <c r="AF841" t="s">
        <v>372</v>
      </c>
      <c r="AG841" t="s">
        <v>296</v>
      </c>
      <c r="AH841" t="s">
        <v>372</v>
      </c>
      <c r="AJ841">
        <v>0</v>
      </c>
      <c r="AK841">
        <v>0</v>
      </c>
      <c r="AL841">
        <v>0</v>
      </c>
      <c r="AM841">
        <v>0</v>
      </c>
      <c r="AN841">
        <v>0</v>
      </c>
      <c r="AO841">
        <v>0</v>
      </c>
      <c r="AP841">
        <v>0</v>
      </c>
      <c r="AQ841">
        <v>0</v>
      </c>
      <c r="AR841">
        <v>0</v>
      </c>
      <c r="AS841">
        <v>1.5</v>
      </c>
      <c r="AT841">
        <v>0</v>
      </c>
      <c r="AU841">
        <v>0</v>
      </c>
      <c r="AV841">
        <v>0</v>
      </c>
      <c r="AW841">
        <v>0</v>
      </c>
      <c r="AX841">
        <v>0</v>
      </c>
      <c r="AY841">
        <v>0</v>
      </c>
      <c r="AZ841">
        <v>0</v>
      </c>
      <c r="BA841">
        <v>0</v>
      </c>
      <c r="BB841">
        <v>0</v>
      </c>
      <c r="BC841">
        <v>0</v>
      </c>
      <c r="BD841">
        <v>461.9</v>
      </c>
      <c r="BE841">
        <v>0</v>
      </c>
      <c r="BF841">
        <v>400</v>
      </c>
      <c r="BG841">
        <v>0</v>
      </c>
      <c r="BH841">
        <v>0</v>
      </c>
      <c r="BI841">
        <v>80</v>
      </c>
      <c r="BJ841">
        <v>0</v>
      </c>
      <c r="BK841">
        <v>0</v>
      </c>
      <c r="BL841">
        <v>0</v>
      </c>
      <c r="BM841">
        <v>0</v>
      </c>
      <c r="BN841">
        <v>943.4</v>
      </c>
      <c r="BO841">
        <v>150.94</v>
      </c>
      <c r="BP841">
        <v>37.74</v>
      </c>
      <c r="BQ841">
        <f t="shared" si="13"/>
        <v>1056.5999999999999</v>
      </c>
      <c r="BR841" t="s">
        <v>432</v>
      </c>
    </row>
    <row r="842" spans="1:70">
      <c r="A842" t="s">
        <v>3502</v>
      </c>
      <c r="B842" t="s">
        <v>3503</v>
      </c>
      <c r="C842" t="s">
        <v>71</v>
      </c>
      <c r="D842" t="s">
        <v>289</v>
      </c>
      <c r="E842" t="s">
        <v>73</v>
      </c>
      <c r="F842" t="s">
        <v>74</v>
      </c>
      <c r="G842">
        <v>242483</v>
      </c>
      <c r="H842" t="s">
        <v>74</v>
      </c>
      <c r="I842" t="s">
        <v>75</v>
      </c>
      <c r="J842" t="s">
        <v>74</v>
      </c>
      <c r="K842" t="s">
        <v>3504</v>
      </c>
      <c r="L842" t="s">
        <v>77</v>
      </c>
      <c r="M842" t="s">
        <v>78</v>
      </c>
      <c r="N842" t="s">
        <v>1110</v>
      </c>
      <c r="O842" t="s">
        <v>3505</v>
      </c>
      <c r="P842" t="s">
        <v>3446</v>
      </c>
      <c r="X842">
        <v>9</v>
      </c>
      <c r="AF842" t="s">
        <v>407</v>
      </c>
      <c r="AG842" t="s">
        <v>296</v>
      </c>
      <c r="AH842" t="s">
        <v>407</v>
      </c>
      <c r="AJ842">
        <v>0</v>
      </c>
      <c r="AK842">
        <v>0</v>
      </c>
      <c r="AL842">
        <v>0</v>
      </c>
      <c r="AM842">
        <v>0</v>
      </c>
      <c r="AN842">
        <v>0</v>
      </c>
      <c r="AO842">
        <v>0</v>
      </c>
      <c r="AP842">
        <v>0</v>
      </c>
      <c r="AQ842">
        <v>0</v>
      </c>
      <c r="AR842">
        <v>0</v>
      </c>
      <c r="AS842">
        <v>1.35</v>
      </c>
      <c r="AT842">
        <v>0</v>
      </c>
      <c r="AU842">
        <v>0</v>
      </c>
      <c r="AV842">
        <v>0</v>
      </c>
      <c r="AW842">
        <v>0</v>
      </c>
      <c r="AX842">
        <v>0</v>
      </c>
      <c r="AY842">
        <v>0</v>
      </c>
      <c r="AZ842">
        <v>0</v>
      </c>
      <c r="BA842">
        <v>0</v>
      </c>
      <c r="BB842">
        <v>0</v>
      </c>
      <c r="BC842">
        <v>0</v>
      </c>
      <c r="BD842">
        <v>139.05000000000001</v>
      </c>
      <c r="BE842">
        <v>0</v>
      </c>
      <c r="BF842">
        <v>360</v>
      </c>
      <c r="BG842">
        <v>0</v>
      </c>
      <c r="BH842">
        <v>0</v>
      </c>
      <c r="BI842">
        <v>72</v>
      </c>
      <c r="BJ842">
        <v>0</v>
      </c>
      <c r="BK842">
        <v>0</v>
      </c>
      <c r="BL842">
        <v>0</v>
      </c>
      <c r="BM842">
        <v>0</v>
      </c>
      <c r="BN842">
        <v>572.4</v>
      </c>
      <c r="BO842">
        <v>91.59</v>
      </c>
      <c r="BP842">
        <v>22.89</v>
      </c>
      <c r="BQ842">
        <f t="shared" si="13"/>
        <v>641.1</v>
      </c>
      <c r="BR842" t="s">
        <v>371</v>
      </c>
    </row>
    <row r="843" spans="1:70">
      <c r="A843" t="s">
        <v>3506</v>
      </c>
      <c r="B843" t="s">
        <v>3507</v>
      </c>
      <c r="C843" t="s">
        <v>71</v>
      </c>
      <c r="D843" t="s">
        <v>289</v>
      </c>
      <c r="E843" t="s">
        <v>73</v>
      </c>
      <c r="F843" t="s">
        <v>74</v>
      </c>
      <c r="G843">
        <v>15</v>
      </c>
      <c r="H843" t="s">
        <v>74</v>
      </c>
      <c r="I843" t="s">
        <v>75</v>
      </c>
      <c r="J843" t="s">
        <v>74</v>
      </c>
      <c r="K843" t="s">
        <v>3089</v>
      </c>
      <c r="L843" t="s">
        <v>77</v>
      </c>
      <c r="M843" t="s">
        <v>78</v>
      </c>
      <c r="N843" t="s">
        <v>2033</v>
      </c>
      <c r="O843" t="s">
        <v>2034</v>
      </c>
      <c r="P843" t="s">
        <v>3446</v>
      </c>
      <c r="V843">
        <v>1</v>
      </c>
      <c r="AF843" t="s">
        <v>295</v>
      </c>
      <c r="AG843" t="s">
        <v>296</v>
      </c>
      <c r="AH843" t="s">
        <v>295</v>
      </c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0.15</v>
      </c>
      <c r="AT843">
        <v>0</v>
      </c>
      <c r="AU843">
        <v>0</v>
      </c>
      <c r="AV843">
        <v>0</v>
      </c>
      <c r="AW843">
        <v>0</v>
      </c>
      <c r="AX843">
        <v>0</v>
      </c>
      <c r="AY843">
        <v>0</v>
      </c>
      <c r="AZ843">
        <v>0</v>
      </c>
      <c r="BA843">
        <v>0</v>
      </c>
      <c r="BB843">
        <v>0</v>
      </c>
      <c r="BC843">
        <v>0</v>
      </c>
      <c r="BD843">
        <v>423.55</v>
      </c>
      <c r="BE843">
        <v>0</v>
      </c>
      <c r="BF843">
        <v>40</v>
      </c>
      <c r="BG843">
        <v>0</v>
      </c>
      <c r="BH843">
        <v>0</v>
      </c>
      <c r="BI843">
        <v>8</v>
      </c>
      <c r="BJ843">
        <v>0</v>
      </c>
      <c r="BK843">
        <v>0</v>
      </c>
      <c r="BL843">
        <v>0</v>
      </c>
      <c r="BM843">
        <v>0</v>
      </c>
      <c r="BN843">
        <v>471.7</v>
      </c>
      <c r="BO843">
        <v>75.47</v>
      </c>
      <c r="BP843">
        <v>18.87</v>
      </c>
      <c r="BQ843">
        <f t="shared" si="13"/>
        <v>528.29999999999995</v>
      </c>
      <c r="BR843" t="s">
        <v>332</v>
      </c>
    </row>
    <row r="844" spans="1:70">
      <c r="A844" t="s">
        <v>3508</v>
      </c>
      <c r="B844" t="s">
        <v>3509</v>
      </c>
      <c r="C844" t="s">
        <v>71</v>
      </c>
      <c r="D844" t="s">
        <v>289</v>
      </c>
      <c r="E844" t="s">
        <v>73</v>
      </c>
      <c r="F844" t="s">
        <v>74</v>
      </c>
      <c r="G844">
        <v>242471</v>
      </c>
      <c r="H844" t="s">
        <v>74</v>
      </c>
      <c r="I844" t="s">
        <v>75</v>
      </c>
      <c r="J844" t="s">
        <v>74</v>
      </c>
      <c r="K844" t="s">
        <v>3510</v>
      </c>
      <c r="L844" t="s">
        <v>77</v>
      </c>
      <c r="M844" t="s">
        <v>78</v>
      </c>
      <c r="N844" t="s">
        <v>324</v>
      </c>
      <c r="O844" t="s">
        <v>3039</v>
      </c>
      <c r="P844" t="s">
        <v>3446</v>
      </c>
      <c r="X844">
        <v>20</v>
      </c>
      <c r="AF844" t="s">
        <v>384</v>
      </c>
      <c r="AG844" t="s">
        <v>296</v>
      </c>
      <c r="AH844" t="s">
        <v>384</v>
      </c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  <c r="AP844">
        <v>0</v>
      </c>
      <c r="AQ844">
        <v>0</v>
      </c>
      <c r="AR844">
        <v>0</v>
      </c>
      <c r="AS844">
        <v>3</v>
      </c>
      <c r="AT844">
        <v>0</v>
      </c>
      <c r="AU844">
        <v>0</v>
      </c>
      <c r="AV844">
        <v>525.79999999999995</v>
      </c>
      <c r="AW844">
        <v>0</v>
      </c>
      <c r="AX844">
        <v>0</v>
      </c>
      <c r="AY844">
        <v>0</v>
      </c>
      <c r="AZ844">
        <v>0</v>
      </c>
      <c r="BA844">
        <v>0</v>
      </c>
      <c r="BB844">
        <v>0</v>
      </c>
      <c r="BC844">
        <v>0</v>
      </c>
      <c r="BD844">
        <v>923.8</v>
      </c>
      <c r="BE844">
        <v>0</v>
      </c>
      <c r="BF844">
        <v>800</v>
      </c>
      <c r="BG844">
        <v>0</v>
      </c>
      <c r="BH844">
        <v>0</v>
      </c>
      <c r="BI844">
        <v>160</v>
      </c>
      <c r="BJ844">
        <v>0</v>
      </c>
      <c r="BK844">
        <v>0</v>
      </c>
      <c r="BL844">
        <v>0</v>
      </c>
      <c r="BM844">
        <v>0</v>
      </c>
      <c r="BN844">
        <v>2412.6</v>
      </c>
      <c r="BO844">
        <v>386.02</v>
      </c>
      <c r="BP844">
        <v>75.47</v>
      </c>
      <c r="BQ844">
        <f t="shared" si="13"/>
        <v>2723.15</v>
      </c>
      <c r="BR844" t="s">
        <v>324</v>
      </c>
    </row>
    <row r="845" spans="1:70">
      <c r="A845" t="s">
        <v>3511</v>
      </c>
      <c r="B845" t="s">
        <v>3512</v>
      </c>
      <c r="C845" t="s">
        <v>71</v>
      </c>
      <c r="D845" t="s">
        <v>289</v>
      </c>
      <c r="E845" t="s">
        <v>73</v>
      </c>
      <c r="F845" t="s">
        <v>74</v>
      </c>
      <c r="G845">
        <v>242553</v>
      </c>
      <c r="H845" t="s">
        <v>74</v>
      </c>
      <c r="I845" t="s">
        <v>75</v>
      </c>
      <c r="J845" t="s">
        <v>74</v>
      </c>
      <c r="K845" t="s">
        <v>3513</v>
      </c>
      <c r="L845" t="s">
        <v>77</v>
      </c>
      <c r="M845" t="s">
        <v>78</v>
      </c>
      <c r="N845" t="s">
        <v>161</v>
      </c>
      <c r="O845" t="s">
        <v>1825</v>
      </c>
      <c r="P845" t="s">
        <v>3514</v>
      </c>
      <c r="X845">
        <v>12</v>
      </c>
      <c r="AF845" t="s">
        <v>379</v>
      </c>
      <c r="AG845" t="s">
        <v>296</v>
      </c>
      <c r="AH845" t="s">
        <v>379</v>
      </c>
      <c r="AJ845">
        <v>0</v>
      </c>
      <c r="AK845">
        <v>0</v>
      </c>
      <c r="AL845">
        <v>0</v>
      </c>
      <c r="AM845">
        <v>0</v>
      </c>
      <c r="AN845">
        <v>0</v>
      </c>
      <c r="AO845">
        <v>0</v>
      </c>
      <c r="AP845">
        <v>0</v>
      </c>
      <c r="AQ845">
        <v>0</v>
      </c>
      <c r="AR845">
        <v>0</v>
      </c>
      <c r="AS845">
        <v>1.8</v>
      </c>
      <c r="AT845">
        <v>0</v>
      </c>
      <c r="AU845">
        <v>0</v>
      </c>
      <c r="AV845">
        <v>0</v>
      </c>
      <c r="AW845">
        <v>0</v>
      </c>
      <c r="AX845">
        <v>0</v>
      </c>
      <c r="AY845">
        <v>0</v>
      </c>
      <c r="AZ845">
        <v>0</v>
      </c>
      <c r="BA845">
        <v>0</v>
      </c>
      <c r="BB845">
        <v>0</v>
      </c>
      <c r="BC845">
        <v>0</v>
      </c>
      <c r="BD845">
        <v>185.4</v>
      </c>
      <c r="BE845">
        <v>0</v>
      </c>
      <c r="BF845">
        <v>480</v>
      </c>
      <c r="BG845">
        <v>0</v>
      </c>
      <c r="BH845">
        <v>0</v>
      </c>
      <c r="BI845">
        <v>96</v>
      </c>
      <c r="BJ845">
        <v>0</v>
      </c>
      <c r="BK845">
        <v>0</v>
      </c>
      <c r="BL845">
        <v>0</v>
      </c>
      <c r="BM845">
        <v>0</v>
      </c>
      <c r="BN845">
        <v>763.2</v>
      </c>
      <c r="BO845">
        <v>122.11</v>
      </c>
      <c r="BP845">
        <v>30.53</v>
      </c>
      <c r="BQ845">
        <f t="shared" si="13"/>
        <v>854.78000000000009</v>
      </c>
      <c r="BR845" t="s">
        <v>83</v>
      </c>
    </row>
    <row r="846" spans="1:70">
      <c r="A846" t="s">
        <v>3515</v>
      </c>
      <c r="B846" t="s">
        <v>3516</v>
      </c>
      <c r="C846" t="s">
        <v>71</v>
      </c>
      <c r="D846" t="s">
        <v>289</v>
      </c>
      <c r="E846" t="s">
        <v>73</v>
      </c>
      <c r="F846" t="s">
        <v>74</v>
      </c>
      <c r="G846">
        <v>242493</v>
      </c>
      <c r="H846" t="s">
        <v>74</v>
      </c>
      <c r="I846" t="s">
        <v>75</v>
      </c>
      <c r="J846" t="s">
        <v>74</v>
      </c>
      <c r="K846" t="s">
        <v>3517</v>
      </c>
      <c r="L846" t="s">
        <v>77</v>
      </c>
      <c r="M846" t="s">
        <v>78</v>
      </c>
      <c r="N846" t="s">
        <v>2111</v>
      </c>
      <c r="O846" t="s">
        <v>2112</v>
      </c>
      <c r="P846" t="s">
        <v>3514</v>
      </c>
      <c r="AD846">
        <v>4</v>
      </c>
      <c r="AF846" t="s">
        <v>326</v>
      </c>
      <c r="AG846" t="s">
        <v>296</v>
      </c>
      <c r="AH846" t="s">
        <v>326</v>
      </c>
      <c r="AJ846">
        <v>0</v>
      </c>
      <c r="AK846">
        <v>0</v>
      </c>
      <c r="AL846">
        <v>0</v>
      </c>
      <c r="AM846">
        <v>0</v>
      </c>
      <c r="AN846">
        <v>0</v>
      </c>
      <c r="AO846">
        <v>0</v>
      </c>
      <c r="AP846">
        <v>0</v>
      </c>
      <c r="AQ846">
        <v>0</v>
      </c>
      <c r="AR846">
        <v>0</v>
      </c>
      <c r="AS846">
        <v>0.6</v>
      </c>
      <c r="AT846">
        <v>0</v>
      </c>
      <c r="AU846">
        <v>0</v>
      </c>
      <c r="AV846">
        <v>0</v>
      </c>
      <c r="AW846">
        <v>0</v>
      </c>
      <c r="AX846">
        <v>0</v>
      </c>
      <c r="AY846">
        <v>0</v>
      </c>
      <c r="AZ846">
        <v>0</v>
      </c>
      <c r="BA846">
        <v>0</v>
      </c>
      <c r="BB846">
        <v>0</v>
      </c>
      <c r="BC846">
        <v>0</v>
      </c>
      <c r="BD846">
        <v>279.12</v>
      </c>
      <c r="BE846">
        <v>0</v>
      </c>
      <c r="BF846">
        <v>160</v>
      </c>
      <c r="BG846">
        <v>0</v>
      </c>
      <c r="BH846">
        <v>0</v>
      </c>
      <c r="BI846">
        <v>32</v>
      </c>
      <c r="BJ846">
        <v>0</v>
      </c>
      <c r="BK846">
        <v>0</v>
      </c>
      <c r="BL846">
        <v>0</v>
      </c>
      <c r="BM846">
        <v>0</v>
      </c>
      <c r="BN846">
        <v>471.72</v>
      </c>
      <c r="BO846">
        <v>75.48</v>
      </c>
      <c r="BP846">
        <v>18.86</v>
      </c>
      <c r="BQ846">
        <f t="shared" si="13"/>
        <v>528.34</v>
      </c>
      <c r="BR846" t="s">
        <v>2113</v>
      </c>
    </row>
    <row r="847" spans="1:70">
      <c r="A847" t="s">
        <v>3518</v>
      </c>
      <c r="B847" t="s">
        <v>3519</v>
      </c>
      <c r="C847" t="s">
        <v>71</v>
      </c>
      <c r="D847" t="s">
        <v>289</v>
      </c>
      <c r="E847" t="s">
        <v>73</v>
      </c>
      <c r="F847" t="s">
        <v>74</v>
      </c>
      <c r="G847">
        <v>242494</v>
      </c>
      <c r="H847" t="s">
        <v>74</v>
      </c>
      <c r="I847" t="s">
        <v>75</v>
      </c>
      <c r="J847" t="s">
        <v>74</v>
      </c>
      <c r="K847" t="s">
        <v>3520</v>
      </c>
      <c r="L847" t="s">
        <v>77</v>
      </c>
      <c r="M847" t="s">
        <v>78</v>
      </c>
      <c r="N847" t="s">
        <v>649</v>
      </c>
      <c r="O847" t="s">
        <v>1093</v>
      </c>
      <c r="P847" t="s">
        <v>3514</v>
      </c>
      <c r="X847">
        <v>11</v>
      </c>
      <c r="AF847" t="s">
        <v>470</v>
      </c>
      <c r="AG847" t="s">
        <v>296</v>
      </c>
      <c r="AH847" t="s">
        <v>470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0</v>
      </c>
      <c r="AQ847">
        <v>0</v>
      </c>
      <c r="AR847">
        <v>0</v>
      </c>
      <c r="AS847">
        <v>1.65</v>
      </c>
      <c r="AT847">
        <v>0</v>
      </c>
      <c r="AU847">
        <v>0</v>
      </c>
      <c r="AV847">
        <v>0</v>
      </c>
      <c r="AW847">
        <v>0</v>
      </c>
      <c r="AX847">
        <v>0</v>
      </c>
      <c r="AY847">
        <v>0</v>
      </c>
      <c r="AZ847">
        <v>0</v>
      </c>
      <c r="BA847">
        <v>0</v>
      </c>
      <c r="BB847">
        <v>0</v>
      </c>
      <c r="BC847">
        <v>0</v>
      </c>
      <c r="BD847">
        <v>169.95</v>
      </c>
      <c r="BE847">
        <v>0</v>
      </c>
      <c r="BF847">
        <v>440</v>
      </c>
      <c r="BG847">
        <v>0</v>
      </c>
      <c r="BH847">
        <v>0</v>
      </c>
      <c r="BI847">
        <v>88</v>
      </c>
      <c r="BJ847">
        <v>0</v>
      </c>
      <c r="BK847">
        <v>0</v>
      </c>
      <c r="BL847">
        <v>0</v>
      </c>
      <c r="BM847">
        <v>0</v>
      </c>
      <c r="BN847">
        <v>699.6</v>
      </c>
      <c r="BO847">
        <v>111.93</v>
      </c>
      <c r="BP847">
        <v>27.99</v>
      </c>
      <c r="BQ847">
        <f t="shared" si="13"/>
        <v>783.54</v>
      </c>
      <c r="BR847" t="s">
        <v>649</v>
      </c>
    </row>
    <row r="848" spans="1:70">
      <c r="A848" t="s">
        <v>3521</v>
      </c>
      <c r="B848" t="s">
        <v>3522</v>
      </c>
      <c r="C848" t="s">
        <v>71</v>
      </c>
      <c r="D848" t="s">
        <v>289</v>
      </c>
      <c r="E848" t="s">
        <v>73</v>
      </c>
      <c r="F848" t="s">
        <v>74</v>
      </c>
      <c r="G848">
        <v>242495</v>
      </c>
      <c r="H848" t="s">
        <v>74</v>
      </c>
      <c r="I848" t="s">
        <v>75</v>
      </c>
      <c r="J848" t="s">
        <v>74</v>
      </c>
      <c r="K848" t="s">
        <v>3523</v>
      </c>
      <c r="L848" t="s">
        <v>77</v>
      </c>
      <c r="M848" t="s">
        <v>78</v>
      </c>
      <c r="N848" t="s">
        <v>1730</v>
      </c>
      <c r="O848" t="s">
        <v>1731</v>
      </c>
      <c r="P848" t="s">
        <v>3514</v>
      </c>
      <c r="AD848">
        <v>4</v>
      </c>
      <c r="AF848" t="s">
        <v>326</v>
      </c>
      <c r="AG848" t="s">
        <v>296</v>
      </c>
      <c r="AH848" t="s">
        <v>326</v>
      </c>
      <c r="AJ848">
        <v>0</v>
      </c>
      <c r="AK848">
        <v>0</v>
      </c>
      <c r="AL848">
        <v>0</v>
      </c>
      <c r="AM848">
        <v>0</v>
      </c>
      <c r="AN848">
        <v>0</v>
      </c>
      <c r="AO848">
        <v>0</v>
      </c>
      <c r="AP848">
        <v>0</v>
      </c>
      <c r="AQ848">
        <v>0</v>
      </c>
      <c r="AR848">
        <v>0</v>
      </c>
      <c r="AS848">
        <v>0.6</v>
      </c>
      <c r="AT848">
        <v>0</v>
      </c>
      <c r="AU848">
        <v>0</v>
      </c>
      <c r="AV848">
        <v>0</v>
      </c>
      <c r="AW848">
        <v>0</v>
      </c>
      <c r="AX848">
        <v>0</v>
      </c>
      <c r="AY848">
        <v>0</v>
      </c>
      <c r="AZ848">
        <v>0</v>
      </c>
      <c r="BA848">
        <v>0</v>
      </c>
      <c r="BB848">
        <v>0</v>
      </c>
      <c r="BC848">
        <v>0</v>
      </c>
      <c r="BD848">
        <v>279.12</v>
      </c>
      <c r="BE848">
        <v>0</v>
      </c>
      <c r="BF848">
        <v>160</v>
      </c>
      <c r="BG848">
        <v>0</v>
      </c>
      <c r="BH848">
        <v>0</v>
      </c>
      <c r="BI848">
        <v>32</v>
      </c>
      <c r="BJ848">
        <v>0</v>
      </c>
      <c r="BK848">
        <v>0</v>
      </c>
      <c r="BL848">
        <v>0</v>
      </c>
      <c r="BM848">
        <v>0</v>
      </c>
      <c r="BN848">
        <v>471.72</v>
      </c>
      <c r="BO848">
        <v>75.48</v>
      </c>
      <c r="BP848">
        <v>18.86</v>
      </c>
      <c r="BQ848">
        <f t="shared" si="13"/>
        <v>528.34</v>
      </c>
      <c r="BR848" t="s">
        <v>1732</v>
      </c>
    </row>
    <row r="849" spans="1:70">
      <c r="A849" t="s">
        <v>3524</v>
      </c>
      <c r="B849" t="s">
        <v>3525</v>
      </c>
      <c r="C849" t="s">
        <v>71</v>
      </c>
      <c r="D849" t="s">
        <v>289</v>
      </c>
      <c r="E849" t="s">
        <v>73</v>
      </c>
      <c r="F849" t="s">
        <v>74</v>
      </c>
      <c r="G849">
        <v>242501</v>
      </c>
      <c r="H849" t="s">
        <v>74</v>
      </c>
      <c r="I849" t="s">
        <v>75</v>
      </c>
      <c r="J849" t="s">
        <v>74</v>
      </c>
      <c r="K849" t="s">
        <v>3526</v>
      </c>
      <c r="L849" t="s">
        <v>77</v>
      </c>
      <c r="M849" t="s">
        <v>78</v>
      </c>
      <c r="N849" t="s">
        <v>959</v>
      </c>
      <c r="O849" t="s">
        <v>960</v>
      </c>
      <c r="P849" t="s">
        <v>3514</v>
      </c>
      <c r="X849">
        <v>8</v>
      </c>
      <c r="AF849" t="s">
        <v>1006</v>
      </c>
      <c r="AG849" t="s">
        <v>296</v>
      </c>
      <c r="AH849" t="s">
        <v>1006</v>
      </c>
      <c r="AJ849">
        <v>0</v>
      </c>
      <c r="AK849">
        <v>0</v>
      </c>
      <c r="AL849">
        <v>0</v>
      </c>
      <c r="AM849">
        <v>0</v>
      </c>
      <c r="AN849">
        <v>0</v>
      </c>
      <c r="AO849">
        <v>0</v>
      </c>
      <c r="AP849">
        <v>0</v>
      </c>
      <c r="AQ849">
        <v>0</v>
      </c>
      <c r="AR849">
        <v>0</v>
      </c>
      <c r="AS849">
        <v>1.2</v>
      </c>
      <c r="AT849">
        <v>0</v>
      </c>
      <c r="AU849">
        <v>0</v>
      </c>
      <c r="AV849">
        <v>0</v>
      </c>
      <c r="AW849">
        <v>0</v>
      </c>
      <c r="AX849">
        <v>0</v>
      </c>
      <c r="AY849">
        <v>0</v>
      </c>
      <c r="AZ849">
        <v>0</v>
      </c>
      <c r="BA849">
        <v>0</v>
      </c>
      <c r="BB849">
        <v>0</v>
      </c>
      <c r="BC849">
        <v>0</v>
      </c>
      <c r="BD849">
        <v>123.6</v>
      </c>
      <c r="BE849">
        <v>0</v>
      </c>
      <c r="BF849">
        <v>320</v>
      </c>
      <c r="BG849">
        <v>0</v>
      </c>
      <c r="BH849">
        <v>0</v>
      </c>
      <c r="BI849">
        <v>64</v>
      </c>
      <c r="BJ849">
        <v>0</v>
      </c>
      <c r="BK849">
        <v>0</v>
      </c>
      <c r="BL849">
        <v>0</v>
      </c>
      <c r="BM849">
        <v>0</v>
      </c>
      <c r="BN849">
        <v>508.8</v>
      </c>
      <c r="BO849">
        <v>81.41</v>
      </c>
      <c r="BP849">
        <v>20.350000000000001</v>
      </c>
      <c r="BQ849">
        <f t="shared" si="13"/>
        <v>569.86</v>
      </c>
      <c r="BR849" t="s">
        <v>959</v>
      </c>
    </row>
    <row r="850" spans="1:70">
      <c r="A850" t="s">
        <v>3527</v>
      </c>
      <c r="B850" t="s">
        <v>3528</v>
      </c>
      <c r="C850" t="s">
        <v>71</v>
      </c>
      <c r="D850" t="s">
        <v>289</v>
      </c>
      <c r="E850" t="s">
        <v>73</v>
      </c>
      <c r="F850" t="s">
        <v>74</v>
      </c>
      <c r="G850">
        <v>242508</v>
      </c>
      <c r="H850" t="s">
        <v>74</v>
      </c>
      <c r="I850" t="s">
        <v>75</v>
      </c>
      <c r="J850" t="s">
        <v>74</v>
      </c>
      <c r="K850" t="s">
        <v>3529</v>
      </c>
      <c r="L850" t="s">
        <v>77</v>
      </c>
      <c r="M850" t="s">
        <v>78</v>
      </c>
      <c r="N850" t="s">
        <v>106</v>
      </c>
      <c r="O850" t="s">
        <v>3530</v>
      </c>
      <c r="P850" t="s">
        <v>3514</v>
      </c>
      <c r="X850">
        <v>15</v>
      </c>
      <c r="AF850" t="s">
        <v>235</v>
      </c>
      <c r="AG850" t="s">
        <v>296</v>
      </c>
      <c r="AH850" t="s">
        <v>235</v>
      </c>
      <c r="AJ850">
        <v>0</v>
      </c>
      <c r="AK850">
        <v>0</v>
      </c>
      <c r="AL850">
        <v>0</v>
      </c>
      <c r="AM850">
        <v>0</v>
      </c>
      <c r="AN850">
        <v>0</v>
      </c>
      <c r="AO850">
        <v>0</v>
      </c>
      <c r="AP850">
        <v>0</v>
      </c>
      <c r="AQ850">
        <v>0</v>
      </c>
      <c r="AR850">
        <v>0</v>
      </c>
      <c r="AS850">
        <v>2.25</v>
      </c>
      <c r="AT850">
        <v>0</v>
      </c>
      <c r="AU850">
        <v>0</v>
      </c>
      <c r="AV850">
        <v>0</v>
      </c>
      <c r="AW850">
        <v>0</v>
      </c>
      <c r="AX850">
        <v>0</v>
      </c>
      <c r="AY850">
        <v>0</v>
      </c>
      <c r="AZ850">
        <v>0</v>
      </c>
      <c r="BA850">
        <v>0</v>
      </c>
      <c r="BB850">
        <v>0</v>
      </c>
      <c r="BC850">
        <v>0</v>
      </c>
      <c r="BD850">
        <v>692.85</v>
      </c>
      <c r="BE850">
        <v>0</v>
      </c>
      <c r="BF850">
        <v>600</v>
      </c>
      <c r="BG850">
        <v>0</v>
      </c>
      <c r="BH850">
        <v>0</v>
      </c>
      <c r="BI850">
        <v>120</v>
      </c>
      <c r="BJ850">
        <v>0</v>
      </c>
      <c r="BK850">
        <v>0</v>
      </c>
      <c r="BL850">
        <v>0</v>
      </c>
      <c r="BM850">
        <v>0</v>
      </c>
      <c r="BN850">
        <v>1415.1</v>
      </c>
      <c r="BO850">
        <v>226.42</v>
      </c>
      <c r="BP850">
        <v>56.6</v>
      </c>
      <c r="BQ850">
        <f t="shared" si="13"/>
        <v>1584.92</v>
      </c>
      <c r="BR850" t="s">
        <v>106</v>
      </c>
    </row>
    <row r="851" spans="1:70">
      <c r="A851" t="s">
        <v>3531</v>
      </c>
      <c r="B851" t="s">
        <v>3532</v>
      </c>
      <c r="C851" t="s">
        <v>71</v>
      </c>
      <c r="D851" t="s">
        <v>289</v>
      </c>
      <c r="E851" t="s">
        <v>73</v>
      </c>
      <c r="F851" t="s">
        <v>1183</v>
      </c>
      <c r="G851">
        <v>242511</v>
      </c>
      <c r="H851" t="s">
        <v>74</v>
      </c>
      <c r="I851" t="s">
        <v>75</v>
      </c>
      <c r="J851" t="s">
        <v>74</v>
      </c>
      <c r="K851" t="s">
        <v>3533</v>
      </c>
      <c r="L851" t="s">
        <v>77</v>
      </c>
      <c r="M851" t="s">
        <v>78</v>
      </c>
      <c r="N851" t="s">
        <v>748</v>
      </c>
      <c r="O851" t="s">
        <v>1026</v>
      </c>
      <c r="P851" t="s">
        <v>3514</v>
      </c>
      <c r="T851">
        <v>1</v>
      </c>
      <c r="AF851" t="s">
        <v>823</v>
      </c>
      <c r="AG851" t="s">
        <v>296</v>
      </c>
      <c r="AH851" t="s">
        <v>823</v>
      </c>
      <c r="AJ851">
        <v>0</v>
      </c>
      <c r="AK851">
        <v>0</v>
      </c>
      <c r="AL851">
        <v>0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36.46</v>
      </c>
      <c r="AT851">
        <v>0</v>
      </c>
      <c r="AU851">
        <v>0</v>
      </c>
      <c r="AV851">
        <v>0</v>
      </c>
      <c r="AW851">
        <v>0</v>
      </c>
      <c r="AX851">
        <v>0</v>
      </c>
      <c r="AY851">
        <v>0</v>
      </c>
      <c r="AZ851">
        <v>0</v>
      </c>
      <c r="BA851">
        <v>0</v>
      </c>
      <c r="BB851">
        <v>0</v>
      </c>
      <c r="BC851">
        <v>0</v>
      </c>
      <c r="BD851">
        <v>1071.1300000000001</v>
      </c>
      <c r="BE851">
        <v>0</v>
      </c>
      <c r="BF851">
        <v>458.08</v>
      </c>
      <c r="BG851">
        <v>0</v>
      </c>
      <c r="BH851">
        <v>0</v>
      </c>
      <c r="BI851">
        <v>421.62</v>
      </c>
      <c r="BJ851">
        <v>0</v>
      </c>
      <c r="BK851">
        <v>0</v>
      </c>
      <c r="BL851">
        <v>0</v>
      </c>
      <c r="BM851">
        <v>0</v>
      </c>
      <c r="BN851">
        <v>1987.29</v>
      </c>
      <c r="BO851">
        <v>317.95999999999998</v>
      </c>
      <c r="BP851">
        <v>79.489999999999995</v>
      </c>
      <c r="BQ851">
        <f t="shared" si="13"/>
        <v>2225.7600000000002</v>
      </c>
      <c r="BR851" t="s">
        <v>748</v>
      </c>
    </row>
    <row r="852" spans="1:70">
      <c r="A852" t="s">
        <v>3534</v>
      </c>
      <c r="B852" t="s">
        <v>3535</v>
      </c>
      <c r="C852" t="s">
        <v>71</v>
      </c>
      <c r="D852" t="s">
        <v>289</v>
      </c>
      <c r="E852" t="s">
        <v>73</v>
      </c>
      <c r="F852" t="s">
        <v>74</v>
      </c>
      <c r="G852">
        <v>242515</v>
      </c>
      <c r="H852" t="s">
        <v>74</v>
      </c>
      <c r="I852" t="s">
        <v>75</v>
      </c>
      <c r="J852" t="s">
        <v>74</v>
      </c>
      <c r="K852" t="s">
        <v>3536</v>
      </c>
      <c r="L852" t="s">
        <v>77</v>
      </c>
      <c r="M852" t="s">
        <v>78</v>
      </c>
      <c r="N852" t="s">
        <v>707</v>
      </c>
      <c r="O852" t="s">
        <v>708</v>
      </c>
      <c r="P852" t="s">
        <v>3514</v>
      </c>
      <c r="X852">
        <v>5</v>
      </c>
      <c r="AF852" t="s">
        <v>333</v>
      </c>
      <c r="AG852" t="s">
        <v>296</v>
      </c>
      <c r="AH852" t="s">
        <v>333</v>
      </c>
      <c r="AJ852">
        <v>0</v>
      </c>
      <c r="AK852">
        <v>0</v>
      </c>
      <c r="AL852">
        <v>0</v>
      </c>
      <c r="AM852">
        <v>0</v>
      </c>
      <c r="AN852">
        <v>0</v>
      </c>
      <c r="AO852">
        <v>0</v>
      </c>
      <c r="AP852">
        <v>0</v>
      </c>
      <c r="AQ852">
        <v>0</v>
      </c>
      <c r="AR852">
        <v>0</v>
      </c>
      <c r="AS852">
        <v>0.75</v>
      </c>
      <c r="AT852">
        <v>0</v>
      </c>
      <c r="AU852">
        <v>0</v>
      </c>
      <c r="AV852">
        <v>0</v>
      </c>
      <c r="AW852">
        <v>0</v>
      </c>
      <c r="AX852">
        <v>0</v>
      </c>
      <c r="AY852">
        <v>0</v>
      </c>
      <c r="AZ852">
        <v>0</v>
      </c>
      <c r="BA852">
        <v>0</v>
      </c>
      <c r="BB852">
        <v>0</v>
      </c>
      <c r="BC852">
        <v>0</v>
      </c>
      <c r="BD852">
        <v>77.25</v>
      </c>
      <c r="BE852">
        <v>0</v>
      </c>
      <c r="BF852">
        <v>200</v>
      </c>
      <c r="BG852">
        <v>0</v>
      </c>
      <c r="BH852">
        <v>0</v>
      </c>
      <c r="BI852">
        <v>40</v>
      </c>
      <c r="BJ852">
        <v>0</v>
      </c>
      <c r="BK852">
        <v>0</v>
      </c>
      <c r="BL852">
        <v>0</v>
      </c>
      <c r="BM852">
        <v>0</v>
      </c>
      <c r="BN852">
        <v>318</v>
      </c>
      <c r="BO852">
        <v>50.88</v>
      </c>
      <c r="BP852">
        <v>12.72</v>
      </c>
      <c r="BQ852">
        <f t="shared" si="13"/>
        <v>356.15999999999997</v>
      </c>
      <c r="BR852" t="s">
        <v>649</v>
      </c>
    </row>
    <row r="853" spans="1:70">
      <c r="A853" t="s">
        <v>3537</v>
      </c>
      <c r="B853" t="s">
        <v>3538</v>
      </c>
      <c r="C853" t="s">
        <v>71</v>
      </c>
      <c r="D853" t="s">
        <v>289</v>
      </c>
      <c r="E853" t="s">
        <v>73</v>
      </c>
      <c r="F853" t="s">
        <v>74</v>
      </c>
      <c r="G853">
        <v>242519</v>
      </c>
      <c r="H853" t="s">
        <v>74</v>
      </c>
      <c r="I853" t="s">
        <v>75</v>
      </c>
      <c r="J853" t="s">
        <v>74</v>
      </c>
      <c r="K853" t="s">
        <v>3539</v>
      </c>
      <c r="L853" t="s">
        <v>77</v>
      </c>
      <c r="M853" t="s">
        <v>78</v>
      </c>
      <c r="N853" t="s">
        <v>757</v>
      </c>
      <c r="O853" t="s">
        <v>899</v>
      </c>
      <c r="P853" t="s">
        <v>3514</v>
      </c>
      <c r="Z853">
        <v>2</v>
      </c>
      <c r="AF853" t="s">
        <v>339</v>
      </c>
      <c r="AG853" t="s">
        <v>296</v>
      </c>
      <c r="AH853" t="s">
        <v>339</v>
      </c>
      <c r="AJ853">
        <v>0</v>
      </c>
      <c r="AK853">
        <v>0</v>
      </c>
      <c r="AL853">
        <v>0</v>
      </c>
      <c r="AM853">
        <v>0</v>
      </c>
      <c r="AN853">
        <v>0</v>
      </c>
      <c r="AO853">
        <v>0</v>
      </c>
      <c r="AP853">
        <v>0</v>
      </c>
      <c r="AQ853">
        <v>0</v>
      </c>
      <c r="AR853">
        <v>0</v>
      </c>
      <c r="AS853">
        <v>0.3</v>
      </c>
      <c r="AT853">
        <v>0</v>
      </c>
      <c r="AU853">
        <v>0</v>
      </c>
      <c r="AV853">
        <v>0</v>
      </c>
      <c r="AW853">
        <v>0</v>
      </c>
      <c r="AX853">
        <v>0</v>
      </c>
      <c r="AY853">
        <v>0</v>
      </c>
      <c r="AZ853">
        <v>0</v>
      </c>
      <c r="BA853">
        <v>0</v>
      </c>
      <c r="BB853">
        <v>0</v>
      </c>
      <c r="BC853">
        <v>0</v>
      </c>
      <c r="BD853">
        <v>327.7</v>
      </c>
      <c r="BE853">
        <v>0</v>
      </c>
      <c r="BF853">
        <v>80</v>
      </c>
      <c r="BG853">
        <v>0</v>
      </c>
      <c r="BH853">
        <v>0</v>
      </c>
      <c r="BI853">
        <v>16</v>
      </c>
      <c r="BJ853">
        <v>0</v>
      </c>
      <c r="BK853">
        <v>0</v>
      </c>
      <c r="BL853">
        <v>0</v>
      </c>
      <c r="BM853">
        <v>0</v>
      </c>
      <c r="BN853">
        <v>424</v>
      </c>
      <c r="BO853">
        <v>67.84</v>
      </c>
      <c r="BP853">
        <v>16.96</v>
      </c>
      <c r="BQ853">
        <f t="shared" si="13"/>
        <v>474.88000000000005</v>
      </c>
      <c r="BR853" t="s">
        <v>757</v>
      </c>
    </row>
    <row r="854" spans="1:70">
      <c r="A854" t="s">
        <v>3540</v>
      </c>
      <c r="B854" t="s">
        <v>3541</v>
      </c>
      <c r="C854" t="s">
        <v>71</v>
      </c>
      <c r="D854" t="s">
        <v>289</v>
      </c>
      <c r="E854" t="s">
        <v>73</v>
      </c>
      <c r="F854" t="s">
        <v>74</v>
      </c>
      <c r="G854">
        <v>242523</v>
      </c>
      <c r="H854" t="s">
        <v>74</v>
      </c>
      <c r="I854" t="s">
        <v>75</v>
      </c>
      <c r="J854" t="s">
        <v>74</v>
      </c>
      <c r="K854" t="s">
        <v>3542</v>
      </c>
      <c r="L854" t="s">
        <v>77</v>
      </c>
      <c r="M854" t="s">
        <v>78</v>
      </c>
      <c r="N854" t="s">
        <v>474</v>
      </c>
      <c r="O854" t="s">
        <v>2389</v>
      </c>
      <c r="P854" t="s">
        <v>3514</v>
      </c>
      <c r="V854">
        <v>1</v>
      </c>
      <c r="AF854" t="s">
        <v>295</v>
      </c>
      <c r="AG854" t="s">
        <v>296</v>
      </c>
      <c r="AH854" t="s">
        <v>295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0.15</v>
      </c>
      <c r="AT854">
        <v>0</v>
      </c>
      <c r="AU854">
        <v>0</v>
      </c>
      <c r="AV854">
        <v>0</v>
      </c>
      <c r="AW854">
        <v>0</v>
      </c>
      <c r="AX854">
        <v>0</v>
      </c>
      <c r="AY854">
        <v>0</v>
      </c>
      <c r="AZ854">
        <v>0</v>
      </c>
      <c r="BA854">
        <v>0</v>
      </c>
      <c r="BB854">
        <v>0</v>
      </c>
      <c r="BC854">
        <v>0</v>
      </c>
      <c r="BD854">
        <v>423.55</v>
      </c>
      <c r="BE854">
        <v>0</v>
      </c>
      <c r="BF854">
        <v>40</v>
      </c>
      <c r="BG854">
        <v>0</v>
      </c>
      <c r="BH854">
        <v>0</v>
      </c>
      <c r="BI854">
        <v>8</v>
      </c>
      <c r="BJ854">
        <v>0</v>
      </c>
      <c r="BK854">
        <v>0</v>
      </c>
      <c r="BL854">
        <v>0</v>
      </c>
      <c r="BM854">
        <v>0</v>
      </c>
      <c r="BN854">
        <v>471.7</v>
      </c>
      <c r="BO854">
        <v>75.47</v>
      </c>
      <c r="BP854">
        <v>18.87</v>
      </c>
      <c r="BQ854">
        <f t="shared" si="13"/>
        <v>528.29999999999995</v>
      </c>
      <c r="BR854" t="s">
        <v>476</v>
      </c>
    </row>
    <row r="855" spans="1:70">
      <c r="A855" t="s">
        <v>3543</v>
      </c>
      <c r="B855" t="s">
        <v>3544</v>
      </c>
      <c r="C855" t="s">
        <v>71</v>
      </c>
      <c r="D855" t="s">
        <v>289</v>
      </c>
      <c r="E855" t="s">
        <v>73</v>
      </c>
      <c r="F855" t="s">
        <v>74</v>
      </c>
      <c r="G855">
        <v>242524</v>
      </c>
      <c r="H855" t="s">
        <v>74</v>
      </c>
      <c r="I855" t="s">
        <v>75</v>
      </c>
      <c r="J855" t="s">
        <v>74</v>
      </c>
      <c r="K855" t="s">
        <v>3545</v>
      </c>
      <c r="L855" t="s">
        <v>77</v>
      </c>
      <c r="M855" t="s">
        <v>78</v>
      </c>
      <c r="N855" t="s">
        <v>1872</v>
      </c>
      <c r="O855" t="s">
        <v>1873</v>
      </c>
      <c r="P855" t="s">
        <v>3514</v>
      </c>
      <c r="Z855">
        <v>2</v>
      </c>
      <c r="AF855" t="s">
        <v>339</v>
      </c>
      <c r="AG855" t="s">
        <v>296</v>
      </c>
      <c r="AH855" t="s">
        <v>339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0.3</v>
      </c>
      <c r="AT855">
        <v>0</v>
      </c>
      <c r="AU855">
        <v>0</v>
      </c>
      <c r="AV855">
        <v>0</v>
      </c>
      <c r="AW855">
        <v>0</v>
      </c>
      <c r="AX855">
        <v>0</v>
      </c>
      <c r="AY855">
        <v>0</v>
      </c>
      <c r="AZ855">
        <v>0</v>
      </c>
      <c r="BA855">
        <v>0</v>
      </c>
      <c r="BB855">
        <v>0</v>
      </c>
      <c r="BC855">
        <v>0</v>
      </c>
      <c r="BD855">
        <v>375.4</v>
      </c>
      <c r="BE855">
        <v>0</v>
      </c>
      <c r="BF855">
        <v>80</v>
      </c>
      <c r="BG855">
        <v>0</v>
      </c>
      <c r="BH855">
        <v>0</v>
      </c>
      <c r="BI855">
        <v>16</v>
      </c>
      <c r="BJ855">
        <v>0</v>
      </c>
      <c r="BK855">
        <v>0</v>
      </c>
      <c r="BL855">
        <v>0</v>
      </c>
      <c r="BM855">
        <v>0</v>
      </c>
      <c r="BN855">
        <v>471.7</v>
      </c>
      <c r="BO855">
        <v>75.47</v>
      </c>
      <c r="BP855">
        <v>18.87</v>
      </c>
      <c r="BQ855">
        <f t="shared" si="13"/>
        <v>528.29999999999995</v>
      </c>
      <c r="BR855" t="s">
        <v>332</v>
      </c>
    </row>
    <row r="856" spans="1:70">
      <c r="A856" t="s">
        <v>3546</v>
      </c>
      <c r="B856" t="s">
        <v>3547</v>
      </c>
      <c r="C856" t="s">
        <v>71</v>
      </c>
      <c r="D856" t="s">
        <v>289</v>
      </c>
      <c r="E856" t="s">
        <v>73</v>
      </c>
      <c r="F856" t="s">
        <v>74</v>
      </c>
      <c r="G856">
        <v>242532</v>
      </c>
      <c r="H856" t="s">
        <v>74</v>
      </c>
      <c r="I856" t="s">
        <v>75</v>
      </c>
      <c r="J856" t="s">
        <v>74</v>
      </c>
      <c r="K856" t="s">
        <v>3548</v>
      </c>
      <c r="L856" t="s">
        <v>77</v>
      </c>
      <c r="M856" t="s">
        <v>78</v>
      </c>
      <c r="N856" t="s">
        <v>421</v>
      </c>
      <c r="O856" t="s">
        <v>422</v>
      </c>
      <c r="P856" t="s">
        <v>3514</v>
      </c>
      <c r="X856">
        <v>5</v>
      </c>
      <c r="AF856" t="s">
        <v>333</v>
      </c>
      <c r="AG856" t="s">
        <v>296</v>
      </c>
      <c r="AH856" t="s">
        <v>333</v>
      </c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  <c r="AP856">
        <v>0</v>
      </c>
      <c r="AQ856">
        <v>0</v>
      </c>
      <c r="AR856">
        <v>0</v>
      </c>
      <c r="AS856">
        <v>0.75</v>
      </c>
      <c r="AT856">
        <v>0</v>
      </c>
      <c r="AU856">
        <v>0</v>
      </c>
      <c r="AV856">
        <v>0</v>
      </c>
      <c r="AW856">
        <v>0</v>
      </c>
      <c r="AX856">
        <v>0</v>
      </c>
      <c r="AY856">
        <v>0</v>
      </c>
      <c r="AZ856">
        <v>0</v>
      </c>
      <c r="BA856">
        <v>0</v>
      </c>
      <c r="BB856">
        <v>0</v>
      </c>
      <c r="BC856">
        <v>0</v>
      </c>
      <c r="BD856">
        <v>230.95</v>
      </c>
      <c r="BE856">
        <v>0</v>
      </c>
      <c r="BF856">
        <v>200</v>
      </c>
      <c r="BG856">
        <v>0</v>
      </c>
      <c r="BH856">
        <v>0</v>
      </c>
      <c r="BI856">
        <v>40</v>
      </c>
      <c r="BJ856">
        <v>0</v>
      </c>
      <c r="BK856">
        <v>0</v>
      </c>
      <c r="BL856">
        <v>0</v>
      </c>
      <c r="BM856">
        <v>0</v>
      </c>
      <c r="BN856">
        <v>471.7</v>
      </c>
      <c r="BO856">
        <v>75.47</v>
      </c>
      <c r="BP856">
        <v>18.87</v>
      </c>
      <c r="BQ856">
        <f t="shared" si="13"/>
        <v>528.29999999999995</v>
      </c>
      <c r="BR856" t="s">
        <v>423</v>
      </c>
    </row>
    <row r="857" spans="1:70">
      <c r="A857" t="s">
        <v>3549</v>
      </c>
      <c r="B857" t="s">
        <v>3550</v>
      </c>
      <c r="C857" t="s">
        <v>71</v>
      </c>
      <c r="D857" t="s">
        <v>289</v>
      </c>
      <c r="E857" t="s">
        <v>73</v>
      </c>
      <c r="F857" t="s">
        <v>74</v>
      </c>
      <c r="G857">
        <v>220178</v>
      </c>
      <c r="H857" t="s">
        <v>74</v>
      </c>
      <c r="I857" t="s">
        <v>75</v>
      </c>
      <c r="J857" t="s">
        <v>74</v>
      </c>
      <c r="K857" t="s">
        <v>3551</v>
      </c>
      <c r="L857" t="s">
        <v>77</v>
      </c>
      <c r="M857" t="s">
        <v>78</v>
      </c>
      <c r="N857" t="s">
        <v>524</v>
      </c>
      <c r="O857" t="s">
        <v>3552</v>
      </c>
      <c r="P857" t="s">
        <v>3553</v>
      </c>
      <c r="T857">
        <v>1</v>
      </c>
      <c r="AF857" t="s">
        <v>823</v>
      </c>
      <c r="AG857" t="s">
        <v>296</v>
      </c>
      <c r="AH857" t="s">
        <v>823</v>
      </c>
      <c r="AJ857">
        <v>0</v>
      </c>
      <c r="AK857">
        <v>0</v>
      </c>
      <c r="AL857">
        <v>0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36.46</v>
      </c>
      <c r="AT857">
        <v>0</v>
      </c>
      <c r="AU857">
        <v>0</v>
      </c>
      <c r="AV857">
        <v>0</v>
      </c>
      <c r="AW857">
        <v>0</v>
      </c>
      <c r="AX857">
        <v>0</v>
      </c>
      <c r="AY857">
        <v>0</v>
      </c>
      <c r="AZ857">
        <v>0</v>
      </c>
      <c r="BA857">
        <v>0</v>
      </c>
      <c r="BB857">
        <v>0</v>
      </c>
      <c r="BC857">
        <v>0</v>
      </c>
      <c r="BD857">
        <v>1071.1300000000001</v>
      </c>
      <c r="BE857">
        <v>0</v>
      </c>
      <c r="BF857">
        <v>458.08</v>
      </c>
      <c r="BG857">
        <v>0</v>
      </c>
      <c r="BH857">
        <v>0</v>
      </c>
      <c r="BI857">
        <v>421.62</v>
      </c>
      <c r="BJ857">
        <v>0</v>
      </c>
      <c r="BK857">
        <v>0</v>
      </c>
      <c r="BL857">
        <v>0</v>
      </c>
      <c r="BM857">
        <v>0</v>
      </c>
      <c r="BN857">
        <v>1987.29</v>
      </c>
      <c r="BO857">
        <v>317.95999999999998</v>
      </c>
      <c r="BP857">
        <v>79.489999999999995</v>
      </c>
      <c r="BQ857">
        <f t="shared" si="13"/>
        <v>2225.7600000000002</v>
      </c>
      <c r="BR857" t="s">
        <v>524</v>
      </c>
    </row>
    <row r="858" spans="1:70">
      <c r="A858" t="s">
        <v>3554</v>
      </c>
      <c r="B858" t="s">
        <v>3555</v>
      </c>
      <c r="C858" t="s">
        <v>71</v>
      </c>
      <c r="D858" t="s">
        <v>289</v>
      </c>
      <c r="E858" t="s">
        <v>73</v>
      </c>
      <c r="F858" t="s">
        <v>74</v>
      </c>
      <c r="G858">
        <v>242557</v>
      </c>
      <c r="H858" t="s">
        <v>74</v>
      </c>
      <c r="I858" t="s">
        <v>75</v>
      </c>
      <c r="J858" t="s">
        <v>74</v>
      </c>
      <c r="K858" t="s">
        <v>3556</v>
      </c>
      <c r="L858" t="s">
        <v>77</v>
      </c>
      <c r="M858" t="s">
        <v>78</v>
      </c>
      <c r="N858" t="s">
        <v>79</v>
      </c>
      <c r="O858" t="s">
        <v>80</v>
      </c>
      <c r="P858" t="s">
        <v>3553</v>
      </c>
      <c r="X858">
        <v>10</v>
      </c>
      <c r="AF858" t="s">
        <v>372</v>
      </c>
      <c r="AG858" t="s">
        <v>296</v>
      </c>
      <c r="AH858" t="s">
        <v>372</v>
      </c>
      <c r="AJ858">
        <v>0</v>
      </c>
      <c r="AK858">
        <v>0</v>
      </c>
      <c r="AL858">
        <v>0</v>
      </c>
      <c r="AM858">
        <v>0</v>
      </c>
      <c r="AN858">
        <v>0</v>
      </c>
      <c r="AO858">
        <v>0</v>
      </c>
      <c r="AP858">
        <v>0</v>
      </c>
      <c r="AQ858">
        <v>0</v>
      </c>
      <c r="AR858">
        <v>0</v>
      </c>
      <c r="AS858">
        <v>1.5</v>
      </c>
      <c r="AT858">
        <v>0</v>
      </c>
      <c r="AU858">
        <v>0</v>
      </c>
      <c r="AV858">
        <v>0</v>
      </c>
      <c r="AW858">
        <v>0</v>
      </c>
      <c r="AX858">
        <v>0</v>
      </c>
      <c r="AY858">
        <v>0</v>
      </c>
      <c r="AZ858">
        <v>0</v>
      </c>
      <c r="BA858">
        <v>0</v>
      </c>
      <c r="BB858">
        <v>0</v>
      </c>
      <c r="BC858">
        <v>0</v>
      </c>
      <c r="BD858">
        <v>154.5</v>
      </c>
      <c r="BE858">
        <v>0</v>
      </c>
      <c r="BF858">
        <v>400</v>
      </c>
      <c r="BG858">
        <v>0</v>
      </c>
      <c r="BH858">
        <v>0</v>
      </c>
      <c r="BI858">
        <v>80</v>
      </c>
      <c r="BJ858">
        <v>0</v>
      </c>
      <c r="BK858">
        <v>0</v>
      </c>
      <c r="BL858">
        <v>0</v>
      </c>
      <c r="BM858">
        <v>0</v>
      </c>
      <c r="BN858">
        <v>636</v>
      </c>
      <c r="BO858">
        <v>101.76</v>
      </c>
      <c r="BP858">
        <v>25.44</v>
      </c>
      <c r="BQ858">
        <f t="shared" si="13"/>
        <v>712.31999999999994</v>
      </c>
      <c r="BR858" t="s">
        <v>83</v>
      </c>
    </row>
    <row r="859" spans="1:70">
      <c r="A859" t="s">
        <v>3557</v>
      </c>
      <c r="B859" t="s">
        <v>3558</v>
      </c>
      <c r="C859" t="s">
        <v>71</v>
      </c>
      <c r="D859" t="s">
        <v>289</v>
      </c>
      <c r="E859" t="s">
        <v>73</v>
      </c>
      <c r="F859" t="s">
        <v>74</v>
      </c>
      <c r="G859">
        <v>242572</v>
      </c>
      <c r="H859" t="s">
        <v>74</v>
      </c>
      <c r="I859" t="s">
        <v>75</v>
      </c>
      <c r="J859" t="s">
        <v>74</v>
      </c>
      <c r="K859" t="s">
        <v>3559</v>
      </c>
      <c r="L859" t="s">
        <v>77</v>
      </c>
      <c r="M859" t="s">
        <v>78</v>
      </c>
      <c r="N859" t="s">
        <v>474</v>
      </c>
      <c r="O859" t="s">
        <v>2389</v>
      </c>
      <c r="P859" t="s">
        <v>3553</v>
      </c>
      <c r="X859">
        <v>10</v>
      </c>
      <c r="AF859" t="s">
        <v>372</v>
      </c>
      <c r="AG859" t="s">
        <v>296</v>
      </c>
      <c r="AH859" t="s">
        <v>372</v>
      </c>
      <c r="AJ859">
        <v>0</v>
      </c>
      <c r="AK859">
        <v>0</v>
      </c>
      <c r="AL859">
        <v>0</v>
      </c>
      <c r="AM859">
        <v>0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1.5</v>
      </c>
      <c r="AT859">
        <v>0</v>
      </c>
      <c r="AU859">
        <v>0</v>
      </c>
      <c r="AV859">
        <v>0</v>
      </c>
      <c r="AW859">
        <v>0</v>
      </c>
      <c r="AX859">
        <v>0</v>
      </c>
      <c r="AY859">
        <v>0</v>
      </c>
      <c r="AZ859">
        <v>0</v>
      </c>
      <c r="BA859">
        <v>0</v>
      </c>
      <c r="BB859">
        <v>0</v>
      </c>
      <c r="BC859">
        <v>0</v>
      </c>
      <c r="BD859">
        <v>461.9</v>
      </c>
      <c r="BE859">
        <v>0</v>
      </c>
      <c r="BF859">
        <v>400</v>
      </c>
      <c r="BG859">
        <v>0</v>
      </c>
      <c r="BH859">
        <v>0</v>
      </c>
      <c r="BI859">
        <v>80</v>
      </c>
      <c r="BJ859">
        <v>0</v>
      </c>
      <c r="BK859">
        <v>0</v>
      </c>
      <c r="BL859">
        <v>0</v>
      </c>
      <c r="BM859">
        <v>0</v>
      </c>
      <c r="BN859">
        <v>943.4</v>
      </c>
      <c r="BO859">
        <v>150.94</v>
      </c>
      <c r="BP859">
        <v>37.74</v>
      </c>
      <c r="BQ859">
        <f t="shared" si="13"/>
        <v>1056.5999999999999</v>
      </c>
      <c r="BR859" t="s">
        <v>476</v>
      </c>
    </row>
    <row r="860" spans="1:70">
      <c r="A860" t="s">
        <v>3560</v>
      </c>
      <c r="B860" t="s">
        <v>3561</v>
      </c>
      <c r="C860" t="s">
        <v>71</v>
      </c>
      <c r="D860" t="s">
        <v>289</v>
      </c>
      <c r="E860" t="s">
        <v>73</v>
      </c>
      <c r="F860" t="s">
        <v>74</v>
      </c>
      <c r="G860">
        <v>242576</v>
      </c>
      <c r="H860" t="s">
        <v>74</v>
      </c>
      <c r="I860" t="s">
        <v>75</v>
      </c>
      <c r="J860" t="s">
        <v>74</v>
      </c>
      <c r="K860" t="s">
        <v>3562</v>
      </c>
      <c r="L860" t="s">
        <v>77</v>
      </c>
      <c r="M860" t="s">
        <v>78</v>
      </c>
      <c r="N860" t="s">
        <v>404</v>
      </c>
      <c r="O860" t="s">
        <v>1542</v>
      </c>
      <c r="P860" t="s">
        <v>3553</v>
      </c>
      <c r="X860">
        <v>9</v>
      </c>
      <c r="AF860" t="s">
        <v>407</v>
      </c>
      <c r="AG860" t="s">
        <v>296</v>
      </c>
      <c r="AH860" t="s">
        <v>407</v>
      </c>
      <c r="AJ860">
        <v>0</v>
      </c>
      <c r="AK860">
        <v>0</v>
      </c>
      <c r="AL860">
        <v>0</v>
      </c>
      <c r="AM860">
        <v>0</v>
      </c>
      <c r="AN860">
        <v>0</v>
      </c>
      <c r="AO860">
        <v>0</v>
      </c>
      <c r="AP860">
        <v>0</v>
      </c>
      <c r="AQ860">
        <v>0</v>
      </c>
      <c r="AR860">
        <v>0</v>
      </c>
      <c r="AS860">
        <v>1.35</v>
      </c>
      <c r="AT860">
        <v>0</v>
      </c>
      <c r="AU860">
        <v>0</v>
      </c>
      <c r="AV860">
        <v>0</v>
      </c>
      <c r="AW860">
        <v>0</v>
      </c>
      <c r="AX860">
        <v>0</v>
      </c>
      <c r="AY860">
        <v>0</v>
      </c>
      <c r="AZ860">
        <v>0</v>
      </c>
      <c r="BA860">
        <v>0</v>
      </c>
      <c r="BB860">
        <v>0</v>
      </c>
      <c r="BC860">
        <v>0</v>
      </c>
      <c r="BD860">
        <v>139.05000000000001</v>
      </c>
      <c r="BE860">
        <v>0</v>
      </c>
      <c r="BF860">
        <v>360</v>
      </c>
      <c r="BG860">
        <v>0</v>
      </c>
      <c r="BH860">
        <v>0</v>
      </c>
      <c r="BI860">
        <v>72</v>
      </c>
      <c r="BJ860">
        <v>0</v>
      </c>
      <c r="BK860">
        <v>0</v>
      </c>
      <c r="BL860">
        <v>0</v>
      </c>
      <c r="BM860">
        <v>0</v>
      </c>
      <c r="BN860">
        <v>572.4</v>
      </c>
      <c r="BO860">
        <v>91.59</v>
      </c>
      <c r="BP860">
        <v>22.89</v>
      </c>
      <c r="BQ860">
        <f t="shared" si="13"/>
        <v>641.1</v>
      </c>
      <c r="BR860" t="s">
        <v>406</v>
      </c>
    </row>
    <row r="861" spans="1:70">
      <c r="A861" t="s">
        <v>3563</v>
      </c>
      <c r="B861" t="s">
        <v>3564</v>
      </c>
      <c r="C861" t="s">
        <v>71</v>
      </c>
      <c r="D861" t="s">
        <v>289</v>
      </c>
      <c r="E861" t="s">
        <v>73</v>
      </c>
      <c r="F861" t="s">
        <v>74</v>
      </c>
      <c r="G861">
        <v>242577</v>
      </c>
      <c r="H861" t="s">
        <v>74</v>
      </c>
      <c r="I861" t="s">
        <v>75</v>
      </c>
      <c r="J861" t="s">
        <v>74</v>
      </c>
      <c r="K861" t="s">
        <v>3565</v>
      </c>
      <c r="L861" t="s">
        <v>77</v>
      </c>
      <c r="M861" t="s">
        <v>78</v>
      </c>
      <c r="N861" t="s">
        <v>832</v>
      </c>
      <c r="O861" t="s">
        <v>1076</v>
      </c>
      <c r="P861" t="s">
        <v>3553</v>
      </c>
      <c r="X861">
        <v>20</v>
      </c>
      <c r="AF861" t="s">
        <v>384</v>
      </c>
      <c r="AG861" t="s">
        <v>296</v>
      </c>
      <c r="AH861" t="s">
        <v>384</v>
      </c>
      <c r="AJ861">
        <v>0</v>
      </c>
      <c r="AK861">
        <v>0</v>
      </c>
      <c r="AL861">
        <v>0</v>
      </c>
      <c r="AM861">
        <v>0</v>
      </c>
      <c r="AN861">
        <v>0</v>
      </c>
      <c r="AO861">
        <v>0</v>
      </c>
      <c r="AP861">
        <v>0</v>
      </c>
      <c r="AQ861">
        <v>0</v>
      </c>
      <c r="AR861">
        <v>0</v>
      </c>
      <c r="AS861">
        <v>3</v>
      </c>
      <c r="AT861">
        <v>0</v>
      </c>
      <c r="AU861">
        <v>0</v>
      </c>
      <c r="AV861">
        <v>0</v>
      </c>
      <c r="AW861">
        <v>0</v>
      </c>
      <c r="AX861">
        <v>0</v>
      </c>
      <c r="AY861">
        <v>0</v>
      </c>
      <c r="AZ861">
        <v>0</v>
      </c>
      <c r="BA861">
        <v>0</v>
      </c>
      <c r="BB861">
        <v>0</v>
      </c>
      <c r="BC861">
        <v>0</v>
      </c>
      <c r="BD861">
        <v>309</v>
      </c>
      <c r="BE861">
        <v>0</v>
      </c>
      <c r="BF861">
        <v>800</v>
      </c>
      <c r="BG861">
        <v>0</v>
      </c>
      <c r="BH861">
        <v>0</v>
      </c>
      <c r="BI861">
        <v>160</v>
      </c>
      <c r="BJ861">
        <v>0</v>
      </c>
      <c r="BK861">
        <v>0</v>
      </c>
      <c r="BL861">
        <v>0</v>
      </c>
      <c r="BM861">
        <v>0</v>
      </c>
      <c r="BN861">
        <v>1272</v>
      </c>
      <c r="BO861">
        <v>203.52</v>
      </c>
      <c r="BP861">
        <v>50.88</v>
      </c>
      <c r="BQ861">
        <f t="shared" si="13"/>
        <v>1424.6399999999999</v>
      </c>
      <c r="BR861" t="s">
        <v>832</v>
      </c>
    </row>
    <row r="862" spans="1:70">
      <c r="A862" t="s">
        <v>3566</v>
      </c>
      <c r="B862" t="s">
        <v>3567</v>
      </c>
      <c r="C862" t="s">
        <v>71</v>
      </c>
      <c r="D862" t="s">
        <v>289</v>
      </c>
      <c r="E862" t="s">
        <v>73</v>
      </c>
      <c r="F862" t="s">
        <v>74</v>
      </c>
      <c r="G862">
        <v>242580</v>
      </c>
      <c r="H862" t="s">
        <v>74</v>
      </c>
      <c r="I862" t="s">
        <v>75</v>
      </c>
      <c r="J862" t="s">
        <v>74</v>
      </c>
      <c r="K862" t="s">
        <v>3568</v>
      </c>
      <c r="L862" t="s">
        <v>77</v>
      </c>
      <c r="M862" t="s">
        <v>78</v>
      </c>
      <c r="N862" t="s">
        <v>499</v>
      </c>
      <c r="O862" t="s">
        <v>2060</v>
      </c>
      <c r="P862" t="s">
        <v>3553</v>
      </c>
      <c r="X862">
        <v>11</v>
      </c>
      <c r="AF862" t="s">
        <v>470</v>
      </c>
      <c r="AG862" t="s">
        <v>296</v>
      </c>
      <c r="AH862" t="s">
        <v>470</v>
      </c>
      <c r="AJ862">
        <v>0</v>
      </c>
      <c r="AK862">
        <v>0</v>
      </c>
      <c r="AL862">
        <v>0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1.65</v>
      </c>
      <c r="AT862">
        <v>0</v>
      </c>
      <c r="AU862">
        <v>0</v>
      </c>
      <c r="AV862">
        <v>0</v>
      </c>
      <c r="AW862">
        <v>0</v>
      </c>
      <c r="AX862">
        <v>0</v>
      </c>
      <c r="AY862">
        <v>0</v>
      </c>
      <c r="AZ862">
        <v>0</v>
      </c>
      <c r="BA862">
        <v>0</v>
      </c>
      <c r="BB862">
        <v>0</v>
      </c>
      <c r="BC862">
        <v>0</v>
      </c>
      <c r="BD862">
        <v>508.09</v>
      </c>
      <c r="BE862">
        <v>0</v>
      </c>
      <c r="BF862">
        <v>440</v>
      </c>
      <c r="BG862">
        <v>0</v>
      </c>
      <c r="BH862">
        <v>0</v>
      </c>
      <c r="BI862">
        <v>88</v>
      </c>
      <c r="BJ862">
        <v>0</v>
      </c>
      <c r="BK862">
        <v>0</v>
      </c>
      <c r="BL862">
        <v>0</v>
      </c>
      <c r="BM862">
        <v>0</v>
      </c>
      <c r="BN862">
        <v>1037.74</v>
      </c>
      <c r="BO862">
        <v>166.03</v>
      </c>
      <c r="BP862">
        <v>41.51</v>
      </c>
      <c r="BQ862">
        <f t="shared" si="13"/>
        <v>1162.26</v>
      </c>
      <c r="BR862" t="s">
        <v>501</v>
      </c>
    </row>
    <row r="863" spans="1:70">
      <c r="A863" t="s">
        <v>3569</v>
      </c>
      <c r="B863" t="s">
        <v>3570</v>
      </c>
      <c r="C863" t="s">
        <v>71</v>
      </c>
      <c r="D863" t="s">
        <v>289</v>
      </c>
      <c r="E863" t="s">
        <v>73</v>
      </c>
      <c r="F863" t="s">
        <v>74</v>
      </c>
      <c r="G863">
        <v>242581</v>
      </c>
      <c r="H863" t="s">
        <v>74</v>
      </c>
      <c r="I863" t="s">
        <v>75</v>
      </c>
      <c r="J863" t="s">
        <v>74</v>
      </c>
      <c r="K863" t="s">
        <v>3571</v>
      </c>
      <c r="L863" t="s">
        <v>77</v>
      </c>
      <c r="M863" t="s">
        <v>78</v>
      </c>
      <c r="N863" t="s">
        <v>3572</v>
      </c>
      <c r="O863" t="s">
        <v>3573</v>
      </c>
      <c r="P863" t="s">
        <v>3553</v>
      </c>
      <c r="V863">
        <v>1</v>
      </c>
      <c r="AF863" t="s">
        <v>295</v>
      </c>
      <c r="AG863" t="s">
        <v>296</v>
      </c>
      <c r="AH863" t="s">
        <v>295</v>
      </c>
      <c r="AJ863">
        <v>0</v>
      </c>
      <c r="AK863">
        <v>0</v>
      </c>
      <c r="AL863">
        <v>0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0.15</v>
      </c>
      <c r="AT863">
        <v>0</v>
      </c>
      <c r="AU863">
        <v>0</v>
      </c>
      <c r="AV863">
        <v>0</v>
      </c>
      <c r="AW863">
        <v>0</v>
      </c>
      <c r="AX863">
        <v>0</v>
      </c>
      <c r="AY863">
        <v>0</v>
      </c>
      <c r="AZ863">
        <v>0</v>
      </c>
      <c r="BA863">
        <v>0</v>
      </c>
      <c r="BB863">
        <v>0</v>
      </c>
      <c r="BC863">
        <v>0</v>
      </c>
      <c r="BD863">
        <v>375.85</v>
      </c>
      <c r="BE863">
        <v>0</v>
      </c>
      <c r="BF863">
        <v>40</v>
      </c>
      <c r="BG863">
        <v>0</v>
      </c>
      <c r="BH863">
        <v>0</v>
      </c>
      <c r="BI863">
        <v>8</v>
      </c>
      <c r="BJ863">
        <v>0</v>
      </c>
      <c r="BK863">
        <v>0</v>
      </c>
      <c r="BL863">
        <v>0</v>
      </c>
      <c r="BM863">
        <v>0</v>
      </c>
      <c r="BN863">
        <v>424</v>
      </c>
      <c r="BO863">
        <v>67.84</v>
      </c>
      <c r="BP863">
        <v>16.96</v>
      </c>
      <c r="BQ863">
        <f t="shared" si="13"/>
        <v>474.88000000000005</v>
      </c>
      <c r="BR863" t="s">
        <v>83</v>
      </c>
    </row>
    <row r="864" spans="1:70">
      <c r="A864" t="s">
        <v>3574</v>
      </c>
      <c r="B864" t="s">
        <v>3575</v>
      </c>
      <c r="C864" t="s">
        <v>71</v>
      </c>
      <c r="D864" t="s">
        <v>289</v>
      </c>
      <c r="E864" t="s">
        <v>73</v>
      </c>
      <c r="F864" t="s">
        <v>74</v>
      </c>
      <c r="G864">
        <v>242537</v>
      </c>
      <c r="H864" t="s">
        <v>74</v>
      </c>
      <c r="I864" t="s">
        <v>75</v>
      </c>
      <c r="J864" t="s">
        <v>74</v>
      </c>
      <c r="K864" t="s">
        <v>3576</v>
      </c>
      <c r="L864" t="s">
        <v>77</v>
      </c>
      <c r="M864" t="s">
        <v>78</v>
      </c>
      <c r="N864" t="s">
        <v>307</v>
      </c>
      <c r="O864" t="s">
        <v>2092</v>
      </c>
      <c r="P864" t="s">
        <v>3553</v>
      </c>
      <c r="X864">
        <v>12</v>
      </c>
      <c r="AF864" t="s">
        <v>379</v>
      </c>
      <c r="AG864" t="s">
        <v>296</v>
      </c>
      <c r="AH864" t="s">
        <v>379</v>
      </c>
      <c r="AJ864">
        <v>0</v>
      </c>
      <c r="AK864">
        <v>0</v>
      </c>
      <c r="AL864">
        <v>0</v>
      </c>
      <c r="AM864">
        <v>0</v>
      </c>
      <c r="AN864">
        <v>0</v>
      </c>
      <c r="AO864">
        <v>0</v>
      </c>
      <c r="AP864">
        <v>0</v>
      </c>
      <c r="AQ864">
        <v>0</v>
      </c>
      <c r="AR864">
        <v>0</v>
      </c>
      <c r="AS864">
        <v>1.8</v>
      </c>
      <c r="AT864">
        <v>0</v>
      </c>
      <c r="AU864">
        <v>0</v>
      </c>
      <c r="AV864">
        <v>0</v>
      </c>
      <c r="AW864">
        <v>0</v>
      </c>
      <c r="AX864">
        <v>0</v>
      </c>
      <c r="AY864">
        <v>0</v>
      </c>
      <c r="AZ864">
        <v>0</v>
      </c>
      <c r="BA864">
        <v>0</v>
      </c>
      <c r="BB864">
        <v>0</v>
      </c>
      <c r="BC864">
        <v>0</v>
      </c>
      <c r="BD864">
        <v>185.4</v>
      </c>
      <c r="BE864">
        <v>0</v>
      </c>
      <c r="BF864">
        <v>480</v>
      </c>
      <c r="BG864">
        <v>0</v>
      </c>
      <c r="BH864">
        <v>0</v>
      </c>
      <c r="BI864">
        <v>96</v>
      </c>
      <c r="BJ864">
        <v>0</v>
      </c>
      <c r="BK864">
        <v>0</v>
      </c>
      <c r="BL864">
        <v>0</v>
      </c>
      <c r="BM864">
        <v>0</v>
      </c>
      <c r="BN864">
        <v>763.2</v>
      </c>
      <c r="BO864">
        <v>122.11</v>
      </c>
      <c r="BP864">
        <v>30.53</v>
      </c>
      <c r="BQ864">
        <f t="shared" si="13"/>
        <v>854.78000000000009</v>
      </c>
      <c r="BR864" t="s">
        <v>294</v>
      </c>
    </row>
    <row r="865" spans="1:70">
      <c r="A865" t="s">
        <v>3577</v>
      </c>
      <c r="B865" t="s">
        <v>3578</v>
      </c>
      <c r="C865" t="s">
        <v>71</v>
      </c>
      <c r="D865" t="s">
        <v>289</v>
      </c>
      <c r="E865" t="s">
        <v>73</v>
      </c>
      <c r="F865" t="s">
        <v>74</v>
      </c>
      <c r="G865">
        <v>242556</v>
      </c>
      <c r="H865" t="s">
        <v>74</v>
      </c>
      <c r="I865" t="s">
        <v>75</v>
      </c>
      <c r="J865" t="s">
        <v>74</v>
      </c>
      <c r="K865" t="s">
        <v>3579</v>
      </c>
      <c r="L865" t="s">
        <v>77</v>
      </c>
      <c r="M865" t="s">
        <v>78</v>
      </c>
      <c r="N865" t="s">
        <v>161</v>
      </c>
      <c r="O865" t="s">
        <v>837</v>
      </c>
      <c r="P865" t="s">
        <v>3580</v>
      </c>
      <c r="V865">
        <v>1</v>
      </c>
      <c r="AF865" t="s">
        <v>295</v>
      </c>
      <c r="AG865" t="s">
        <v>296</v>
      </c>
      <c r="AH865" t="s">
        <v>295</v>
      </c>
      <c r="AJ865">
        <v>0</v>
      </c>
      <c r="AK865">
        <v>0</v>
      </c>
      <c r="AL865">
        <v>0</v>
      </c>
      <c r="AM865">
        <v>0</v>
      </c>
      <c r="AN865">
        <v>0</v>
      </c>
      <c r="AO865">
        <v>0</v>
      </c>
      <c r="AP865">
        <v>0</v>
      </c>
      <c r="AQ865">
        <v>0</v>
      </c>
      <c r="AR865">
        <v>0</v>
      </c>
      <c r="AS865">
        <v>0.15</v>
      </c>
      <c r="AT865">
        <v>0</v>
      </c>
      <c r="AU865">
        <v>0</v>
      </c>
      <c r="AV865">
        <v>0</v>
      </c>
      <c r="AW865">
        <v>0</v>
      </c>
      <c r="AX865">
        <v>0</v>
      </c>
      <c r="AY865">
        <v>0</v>
      </c>
      <c r="AZ865">
        <v>0</v>
      </c>
      <c r="BA865">
        <v>0</v>
      </c>
      <c r="BB865">
        <v>0</v>
      </c>
      <c r="BC865">
        <v>0</v>
      </c>
      <c r="BD865">
        <v>375.85</v>
      </c>
      <c r="BE865">
        <v>0</v>
      </c>
      <c r="BF865">
        <v>40</v>
      </c>
      <c r="BG865">
        <v>0</v>
      </c>
      <c r="BH865">
        <v>0</v>
      </c>
      <c r="BI865">
        <v>8</v>
      </c>
      <c r="BJ865">
        <v>0</v>
      </c>
      <c r="BK865">
        <v>0</v>
      </c>
      <c r="BL865">
        <v>0</v>
      </c>
      <c r="BM865">
        <v>0</v>
      </c>
      <c r="BN865">
        <v>424</v>
      </c>
      <c r="BO865">
        <v>67.84</v>
      </c>
      <c r="BP865">
        <v>16.96</v>
      </c>
      <c r="BQ865">
        <f t="shared" si="13"/>
        <v>474.88000000000005</v>
      </c>
      <c r="BR865" t="s">
        <v>83</v>
      </c>
    </row>
    <row r="866" spans="1:70">
      <c r="A866" t="s">
        <v>3581</v>
      </c>
      <c r="B866" t="s">
        <v>3582</v>
      </c>
      <c r="C866" t="s">
        <v>71</v>
      </c>
      <c r="D866" t="s">
        <v>289</v>
      </c>
      <c r="E866" t="s">
        <v>73</v>
      </c>
      <c r="F866" t="s">
        <v>74</v>
      </c>
      <c r="G866">
        <v>242605</v>
      </c>
      <c r="H866" t="s">
        <v>74</v>
      </c>
      <c r="I866" t="s">
        <v>75</v>
      </c>
      <c r="J866" t="s">
        <v>74</v>
      </c>
      <c r="K866" t="s">
        <v>3583</v>
      </c>
      <c r="L866" t="s">
        <v>77</v>
      </c>
      <c r="M866" t="s">
        <v>78</v>
      </c>
      <c r="N866" t="s">
        <v>924</v>
      </c>
      <c r="O866" t="s">
        <v>1001</v>
      </c>
      <c r="P866" t="s">
        <v>3580</v>
      </c>
      <c r="X866">
        <v>16</v>
      </c>
      <c r="AF866" t="s">
        <v>482</v>
      </c>
      <c r="AG866" t="s">
        <v>296</v>
      </c>
      <c r="AH866" t="s">
        <v>482</v>
      </c>
      <c r="AJ866">
        <v>0</v>
      </c>
      <c r="AK866">
        <v>0</v>
      </c>
      <c r="AL866">
        <v>0</v>
      </c>
      <c r="AM866">
        <v>0</v>
      </c>
      <c r="AN866">
        <v>0</v>
      </c>
      <c r="AO866">
        <v>0</v>
      </c>
      <c r="AP866">
        <v>0</v>
      </c>
      <c r="AQ866">
        <v>0</v>
      </c>
      <c r="AR866">
        <v>0</v>
      </c>
      <c r="AS866">
        <v>2.4</v>
      </c>
      <c r="AT866">
        <v>0</v>
      </c>
      <c r="AU866">
        <v>0</v>
      </c>
      <c r="AV866">
        <v>0</v>
      </c>
      <c r="AW866">
        <v>0</v>
      </c>
      <c r="AX866">
        <v>0</v>
      </c>
      <c r="AY866">
        <v>0</v>
      </c>
      <c r="AZ866">
        <v>0</v>
      </c>
      <c r="BA866">
        <v>0</v>
      </c>
      <c r="BB866">
        <v>0</v>
      </c>
      <c r="BC866">
        <v>0</v>
      </c>
      <c r="BD866">
        <v>247.2</v>
      </c>
      <c r="BE866">
        <v>0</v>
      </c>
      <c r="BF866">
        <v>640</v>
      </c>
      <c r="BG866">
        <v>0</v>
      </c>
      <c r="BH866">
        <v>0</v>
      </c>
      <c r="BI866">
        <v>128</v>
      </c>
      <c r="BJ866">
        <v>0</v>
      </c>
      <c r="BK866">
        <v>0</v>
      </c>
      <c r="BL866">
        <v>0</v>
      </c>
      <c r="BM866">
        <v>0</v>
      </c>
      <c r="BN866">
        <v>1017.6</v>
      </c>
      <c r="BO866">
        <v>162.81</v>
      </c>
      <c r="BP866">
        <v>40.71</v>
      </c>
      <c r="BQ866">
        <f t="shared" si="13"/>
        <v>1139.7</v>
      </c>
      <c r="BR866" t="s">
        <v>757</v>
      </c>
    </row>
    <row r="867" spans="1:70">
      <c r="A867" t="s">
        <v>3584</v>
      </c>
      <c r="B867" t="s">
        <v>3585</v>
      </c>
      <c r="C867" t="s">
        <v>71</v>
      </c>
      <c r="D867" t="s">
        <v>289</v>
      </c>
      <c r="E867" t="s">
        <v>73</v>
      </c>
      <c r="F867" t="s">
        <v>74</v>
      </c>
      <c r="G867">
        <v>242617</v>
      </c>
      <c r="H867" t="s">
        <v>74</v>
      </c>
      <c r="I867" t="s">
        <v>75</v>
      </c>
      <c r="J867" t="s">
        <v>74</v>
      </c>
      <c r="K867" t="s">
        <v>3586</v>
      </c>
      <c r="L867" t="s">
        <v>77</v>
      </c>
      <c r="M867" t="s">
        <v>78</v>
      </c>
      <c r="N867" t="s">
        <v>765</v>
      </c>
      <c r="O867" t="s">
        <v>766</v>
      </c>
      <c r="P867" t="s">
        <v>3580</v>
      </c>
      <c r="V867">
        <v>1</v>
      </c>
      <c r="AF867" t="s">
        <v>295</v>
      </c>
      <c r="AG867" t="s">
        <v>296</v>
      </c>
      <c r="AH867" t="s">
        <v>295</v>
      </c>
      <c r="AJ867">
        <v>0</v>
      </c>
      <c r="AK867">
        <v>0</v>
      </c>
      <c r="AL867">
        <v>0</v>
      </c>
      <c r="AM867">
        <v>0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0.15</v>
      </c>
      <c r="AT867">
        <v>0</v>
      </c>
      <c r="AU867">
        <v>0</v>
      </c>
      <c r="AV867">
        <v>0</v>
      </c>
      <c r="AW867">
        <v>0</v>
      </c>
      <c r="AX867">
        <v>0</v>
      </c>
      <c r="AY867">
        <v>0</v>
      </c>
      <c r="AZ867">
        <v>0</v>
      </c>
      <c r="BA867">
        <v>0</v>
      </c>
      <c r="BB867">
        <v>0</v>
      </c>
      <c r="BC867">
        <v>0</v>
      </c>
      <c r="BD867">
        <v>423.55</v>
      </c>
      <c r="BE867">
        <v>0</v>
      </c>
      <c r="BF867">
        <v>40</v>
      </c>
      <c r="BG867">
        <v>0</v>
      </c>
      <c r="BH867">
        <v>0</v>
      </c>
      <c r="BI867">
        <v>8</v>
      </c>
      <c r="BJ867">
        <v>0</v>
      </c>
      <c r="BK867">
        <v>0</v>
      </c>
      <c r="BL867">
        <v>0</v>
      </c>
      <c r="BM867">
        <v>0</v>
      </c>
      <c r="BN867">
        <v>471.7</v>
      </c>
      <c r="BO867">
        <v>75.47</v>
      </c>
      <c r="BP867">
        <v>18.87</v>
      </c>
      <c r="BQ867">
        <f t="shared" si="13"/>
        <v>528.29999999999995</v>
      </c>
      <c r="BR867" t="s">
        <v>332</v>
      </c>
    </row>
    <row r="868" spans="1:70">
      <c r="A868" t="s">
        <v>3587</v>
      </c>
      <c r="B868" t="s">
        <v>3588</v>
      </c>
      <c r="C868" t="s">
        <v>71</v>
      </c>
      <c r="D868" t="s">
        <v>289</v>
      </c>
      <c r="E868" t="s">
        <v>73</v>
      </c>
      <c r="F868" t="s">
        <v>74</v>
      </c>
      <c r="G868">
        <v>242608</v>
      </c>
      <c r="H868" t="s">
        <v>74</v>
      </c>
      <c r="I868" t="s">
        <v>75</v>
      </c>
      <c r="J868" t="s">
        <v>74</v>
      </c>
      <c r="K868" t="s">
        <v>3589</v>
      </c>
      <c r="L868" t="s">
        <v>77</v>
      </c>
      <c r="M868" t="s">
        <v>78</v>
      </c>
      <c r="N868" t="s">
        <v>175</v>
      </c>
      <c r="O868" t="s">
        <v>3590</v>
      </c>
      <c r="P868" t="s">
        <v>3580</v>
      </c>
      <c r="X868">
        <v>14</v>
      </c>
      <c r="AF868" t="s">
        <v>413</v>
      </c>
      <c r="AG868" t="s">
        <v>296</v>
      </c>
      <c r="AH868" t="s">
        <v>413</v>
      </c>
      <c r="AJ868">
        <v>0</v>
      </c>
      <c r="AK868">
        <v>0</v>
      </c>
      <c r="AL868">
        <v>0</v>
      </c>
      <c r="AM868">
        <v>0</v>
      </c>
      <c r="AN868">
        <v>0</v>
      </c>
      <c r="AO868">
        <v>0</v>
      </c>
      <c r="AP868">
        <v>0</v>
      </c>
      <c r="AQ868">
        <v>0</v>
      </c>
      <c r="AR868">
        <v>0</v>
      </c>
      <c r="AS868">
        <v>2.1</v>
      </c>
      <c r="AT868">
        <v>0</v>
      </c>
      <c r="AU868">
        <v>0</v>
      </c>
      <c r="AV868">
        <v>0</v>
      </c>
      <c r="AW868">
        <v>0</v>
      </c>
      <c r="AX868">
        <v>0</v>
      </c>
      <c r="AY868">
        <v>0</v>
      </c>
      <c r="AZ868">
        <v>0</v>
      </c>
      <c r="BA868">
        <v>0</v>
      </c>
      <c r="BB868">
        <v>0</v>
      </c>
      <c r="BC868">
        <v>0</v>
      </c>
      <c r="BD868">
        <v>646.66</v>
      </c>
      <c r="BE868">
        <v>0</v>
      </c>
      <c r="BF868">
        <v>560</v>
      </c>
      <c r="BG868">
        <v>0</v>
      </c>
      <c r="BH868">
        <v>0</v>
      </c>
      <c r="BI868">
        <v>112</v>
      </c>
      <c r="BJ868">
        <v>0</v>
      </c>
      <c r="BK868">
        <v>0</v>
      </c>
      <c r="BL868">
        <v>0</v>
      </c>
      <c r="BM868">
        <v>0</v>
      </c>
      <c r="BN868">
        <v>1320.76</v>
      </c>
      <c r="BO868">
        <v>211.33</v>
      </c>
      <c r="BP868">
        <v>52.83</v>
      </c>
      <c r="BQ868">
        <f t="shared" si="13"/>
        <v>1479.26</v>
      </c>
      <c r="BR868" t="s">
        <v>175</v>
      </c>
    </row>
    <row r="869" spans="1:70">
      <c r="A869" t="s">
        <v>3591</v>
      </c>
      <c r="B869" t="s">
        <v>3592</v>
      </c>
      <c r="C869" t="s">
        <v>71</v>
      </c>
      <c r="D869" t="s">
        <v>289</v>
      </c>
      <c r="E869" t="s">
        <v>73</v>
      </c>
      <c r="F869" t="s">
        <v>74</v>
      </c>
      <c r="G869">
        <v>242607</v>
      </c>
      <c r="H869" t="s">
        <v>74</v>
      </c>
      <c r="I869" t="s">
        <v>75</v>
      </c>
      <c r="J869" t="s">
        <v>74</v>
      </c>
      <c r="K869" t="s">
        <v>3593</v>
      </c>
      <c r="L869" t="s">
        <v>77</v>
      </c>
      <c r="M869" t="s">
        <v>78</v>
      </c>
      <c r="N869" t="s">
        <v>258</v>
      </c>
      <c r="O869" t="s">
        <v>3594</v>
      </c>
      <c r="P869" t="s">
        <v>3580</v>
      </c>
      <c r="X869">
        <v>33</v>
      </c>
      <c r="AF869" t="s">
        <v>502</v>
      </c>
      <c r="AG869" t="s">
        <v>296</v>
      </c>
      <c r="AH869" t="s">
        <v>502</v>
      </c>
      <c r="AJ869">
        <v>0</v>
      </c>
      <c r="AK869">
        <v>0</v>
      </c>
      <c r="AL869">
        <v>0</v>
      </c>
      <c r="AM869">
        <v>0</v>
      </c>
      <c r="AN869">
        <v>0</v>
      </c>
      <c r="AO869">
        <v>0</v>
      </c>
      <c r="AP869">
        <v>0</v>
      </c>
      <c r="AQ869">
        <v>0</v>
      </c>
      <c r="AR869">
        <v>0</v>
      </c>
      <c r="AS869">
        <v>4.95</v>
      </c>
      <c r="AT869">
        <v>0</v>
      </c>
      <c r="AU869">
        <v>0</v>
      </c>
      <c r="AV869">
        <v>0</v>
      </c>
      <c r="AW869">
        <v>0</v>
      </c>
      <c r="AX869">
        <v>0</v>
      </c>
      <c r="AY869">
        <v>0</v>
      </c>
      <c r="AZ869">
        <v>0</v>
      </c>
      <c r="BA869">
        <v>0</v>
      </c>
      <c r="BB869">
        <v>0</v>
      </c>
      <c r="BC869">
        <v>0</v>
      </c>
      <c r="BD869">
        <v>1524.27</v>
      </c>
      <c r="BE869">
        <v>0</v>
      </c>
      <c r="BF869">
        <v>1320</v>
      </c>
      <c r="BG869">
        <v>0</v>
      </c>
      <c r="BH869">
        <v>0</v>
      </c>
      <c r="BI869">
        <v>264</v>
      </c>
      <c r="BJ869">
        <v>0</v>
      </c>
      <c r="BK869">
        <v>0</v>
      </c>
      <c r="BL869">
        <v>0</v>
      </c>
      <c r="BM869">
        <v>0</v>
      </c>
      <c r="BN869">
        <v>3113.22</v>
      </c>
      <c r="BO869">
        <v>498.11</v>
      </c>
      <c r="BP869">
        <v>124.53</v>
      </c>
      <c r="BQ869">
        <f t="shared" si="13"/>
        <v>3486.7999999999997</v>
      </c>
      <c r="BR869" t="s">
        <v>258</v>
      </c>
    </row>
    <row r="870" spans="1:70">
      <c r="A870" t="s">
        <v>3595</v>
      </c>
      <c r="B870" t="s">
        <v>3596</v>
      </c>
      <c r="C870" t="s">
        <v>71</v>
      </c>
      <c r="D870" t="s">
        <v>289</v>
      </c>
      <c r="E870" t="s">
        <v>73</v>
      </c>
      <c r="F870" t="s">
        <v>74</v>
      </c>
      <c r="G870">
        <v>242598</v>
      </c>
      <c r="H870" t="s">
        <v>74</v>
      </c>
      <c r="I870" t="s">
        <v>75</v>
      </c>
      <c r="J870" t="s">
        <v>74</v>
      </c>
      <c r="K870" t="s">
        <v>3597</v>
      </c>
      <c r="L870" t="s">
        <v>77</v>
      </c>
      <c r="M870" t="s">
        <v>78</v>
      </c>
      <c r="N870" t="s">
        <v>1309</v>
      </c>
      <c r="O870" t="s">
        <v>1310</v>
      </c>
      <c r="P870" t="s">
        <v>3580</v>
      </c>
      <c r="X870">
        <v>19</v>
      </c>
      <c r="AF870" t="s">
        <v>569</v>
      </c>
      <c r="AG870" t="s">
        <v>296</v>
      </c>
      <c r="AH870" t="s">
        <v>569</v>
      </c>
      <c r="AJ870">
        <v>0</v>
      </c>
      <c r="AK870">
        <v>0</v>
      </c>
      <c r="AL870">
        <v>0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2.85</v>
      </c>
      <c r="AT870">
        <v>0</v>
      </c>
      <c r="AU870">
        <v>0</v>
      </c>
      <c r="AV870">
        <v>0</v>
      </c>
      <c r="AW870">
        <v>0</v>
      </c>
      <c r="AX870">
        <v>0</v>
      </c>
      <c r="AY870">
        <v>0</v>
      </c>
      <c r="AZ870">
        <v>0</v>
      </c>
      <c r="BA870">
        <v>0</v>
      </c>
      <c r="BB870">
        <v>0</v>
      </c>
      <c r="BC870">
        <v>0</v>
      </c>
      <c r="BD870">
        <v>293.55</v>
      </c>
      <c r="BE870">
        <v>0</v>
      </c>
      <c r="BF870">
        <v>760</v>
      </c>
      <c r="BG870">
        <v>0</v>
      </c>
      <c r="BH870">
        <v>0</v>
      </c>
      <c r="BI870">
        <v>152</v>
      </c>
      <c r="BJ870">
        <v>0</v>
      </c>
      <c r="BK870">
        <v>0</v>
      </c>
      <c r="BL870">
        <v>0</v>
      </c>
      <c r="BM870">
        <v>0</v>
      </c>
      <c r="BN870">
        <v>1208.4000000000001</v>
      </c>
      <c r="BO870">
        <v>193.35</v>
      </c>
      <c r="BP870">
        <v>48.33</v>
      </c>
      <c r="BQ870">
        <f t="shared" si="13"/>
        <v>1353.42</v>
      </c>
      <c r="BR870" t="s">
        <v>83</v>
      </c>
    </row>
    <row r="871" spans="1:70">
      <c r="A871" t="s">
        <v>3598</v>
      </c>
      <c r="B871" t="s">
        <v>3599</v>
      </c>
      <c r="C871" t="s">
        <v>71</v>
      </c>
      <c r="D871" t="s">
        <v>289</v>
      </c>
      <c r="E871" t="s">
        <v>73</v>
      </c>
      <c r="F871" t="s">
        <v>74</v>
      </c>
      <c r="G871">
        <v>242594</v>
      </c>
      <c r="H871" t="s">
        <v>74</v>
      </c>
      <c r="I871" t="s">
        <v>75</v>
      </c>
      <c r="J871" t="s">
        <v>74</v>
      </c>
      <c r="K871" t="s">
        <v>3600</v>
      </c>
      <c r="L871" t="s">
        <v>77</v>
      </c>
      <c r="M871" t="s">
        <v>78</v>
      </c>
      <c r="N871" t="s">
        <v>229</v>
      </c>
      <c r="O871" t="s">
        <v>354</v>
      </c>
      <c r="P871" t="s">
        <v>3580</v>
      </c>
      <c r="X871">
        <v>6</v>
      </c>
      <c r="AF871" t="s">
        <v>400</v>
      </c>
      <c r="AG871" t="s">
        <v>296</v>
      </c>
      <c r="AH871" t="s">
        <v>400</v>
      </c>
      <c r="AJ871">
        <v>0</v>
      </c>
      <c r="AK871">
        <v>0</v>
      </c>
      <c r="AL871">
        <v>0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0.9</v>
      </c>
      <c r="AT871">
        <v>0</v>
      </c>
      <c r="AU871">
        <v>0</v>
      </c>
      <c r="AV871">
        <v>0</v>
      </c>
      <c r="AW871">
        <v>0</v>
      </c>
      <c r="AX871">
        <v>0</v>
      </c>
      <c r="AY871">
        <v>0</v>
      </c>
      <c r="AZ871">
        <v>0</v>
      </c>
      <c r="BA871">
        <v>0</v>
      </c>
      <c r="BB871">
        <v>0</v>
      </c>
      <c r="BC871">
        <v>0</v>
      </c>
      <c r="BD871">
        <v>277.14</v>
      </c>
      <c r="BE871">
        <v>0</v>
      </c>
      <c r="BF871">
        <v>240</v>
      </c>
      <c r="BG871">
        <v>0</v>
      </c>
      <c r="BH871">
        <v>0</v>
      </c>
      <c r="BI871">
        <v>48</v>
      </c>
      <c r="BJ871">
        <v>0</v>
      </c>
      <c r="BK871">
        <v>0</v>
      </c>
      <c r="BL871">
        <v>0</v>
      </c>
      <c r="BM871">
        <v>0</v>
      </c>
      <c r="BN871">
        <v>566.04</v>
      </c>
      <c r="BO871">
        <v>90.56</v>
      </c>
      <c r="BP871">
        <v>22.65</v>
      </c>
      <c r="BQ871">
        <f t="shared" si="13"/>
        <v>633.94999999999993</v>
      </c>
      <c r="BR871" t="s">
        <v>229</v>
      </c>
    </row>
    <row r="872" spans="1:70">
      <c r="A872" t="s">
        <v>3601</v>
      </c>
      <c r="B872" t="s">
        <v>3602</v>
      </c>
      <c r="C872" t="s">
        <v>71</v>
      </c>
      <c r="D872" t="s">
        <v>289</v>
      </c>
      <c r="E872" t="s">
        <v>73</v>
      </c>
      <c r="F872" t="s">
        <v>74</v>
      </c>
      <c r="G872">
        <v>242593</v>
      </c>
      <c r="H872" t="s">
        <v>74</v>
      </c>
      <c r="I872" t="s">
        <v>75</v>
      </c>
      <c r="J872" t="s">
        <v>74</v>
      </c>
      <c r="K872" t="s">
        <v>3603</v>
      </c>
      <c r="L872" t="s">
        <v>77</v>
      </c>
      <c r="M872" t="s">
        <v>78</v>
      </c>
      <c r="N872" t="s">
        <v>330</v>
      </c>
      <c r="O872" t="s">
        <v>1953</v>
      </c>
      <c r="P872" t="s">
        <v>3580</v>
      </c>
      <c r="X872">
        <v>20</v>
      </c>
      <c r="AF872" t="s">
        <v>384</v>
      </c>
      <c r="AG872" t="s">
        <v>296</v>
      </c>
      <c r="AH872" t="s">
        <v>384</v>
      </c>
      <c r="AJ872">
        <v>0</v>
      </c>
      <c r="AK872">
        <v>0</v>
      </c>
      <c r="AL872">
        <v>0</v>
      </c>
      <c r="AM872">
        <v>0</v>
      </c>
      <c r="AN872">
        <v>0</v>
      </c>
      <c r="AO872">
        <v>0</v>
      </c>
      <c r="AP872">
        <v>0</v>
      </c>
      <c r="AQ872">
        <v>0</v>
      </c>
      <c r="AR872">
        <v>0</v>
      </c>
      <c r="AS872">
        <v>3</v>
      </c>
      <c r="AT872">
        <v>0</v>
      </c>
      <c r="AU872">
        <v>0</v>
      </c>
      <c r="AV872">
        <v>0</v>
      </c>
      <c r="AW872">
        <v>0</v>
      </c>
      <c r="AX872">
        <v>0</v>
      </c>
      <c r="AY872">
        <v>0</v>
      </c>
      <c r="AZ872">
        <v>0</v>
      </c>
      <c r="BA872">
        <v>0</v>
      </c>
      <c r="BB872">
        <v>0</v>
      </c>
      <c r="BC872">
        <v>0</v>
      </c>
      <c r="BD872">
        <v>923.8</v>
      </c>
      <c r="BE872">
        <v>0</v>
      </c>
      <c r="BF872">
        <v>800</v>
      </c>
      <c r="BG872">
        <v>0</v>
      </c>
      <c r="BH872">
        <v>0</v>
      </c>
      <c r="BI872">
        <v>160</v>
      </c>
      <c r="BJ872">
        <v>0</v>
      </c>
      <c r="BK872">
        <v>0</v>
      </c>
      <c r="BL872">
        <v>0</v>
      </c>
      <c r="BM872">
        <v>0</v>
      </c>
      <c r="BN872">
        <v>1886.8</v>
      </c>
      <c r="BO872">
        <v>301.89</v>
      </c>
      <c r="BP872">
        <v>75.47</v>
      </c>
      <c r="BQ872">
        <f t="shared" si="13"/>
        <v>2113.2200000000003</v>
      </c>
      <c r="BR872" t="s">
        <v>332</v>
      </c>
    </row>
    <row r="873" spans="1:70">
      <c r="A873" t="s">
        <v>3604</v>
      </c>
      <c r="B873" t="s">
        <v>3605</v>
      </c>
      <c r="C873" t="s">
        <v>71</v>
      </c>
      <c r="D873" t="s">
        <v>289</v>
      </c>
      <c r="E873" t="s">
        <v>73</v>
      </c>
      <c r="F873" t="s">
        <v>74</v>
      </c>
      <c r="G873">
        <v>242591</v>
      </c>
      <c r="H873" t="s">
        <v>74</v>
      </c>
      <c r="I873" t="s">
        <v>75</v>
      </c>
      <c r="J873" t="s">
        <v>74</v>
      </c>
      <c r="K873" t="s">
        <v>3606</v>
      </c>
      <c r="L873" t="s">
        <v>77</v>
      </c>
      <c r="M873" t="s">
        <v>78</v>
      </c>
      <c r="N873" t="s">
        <v>832</v>
      </c>
      <c r="O873" t="s">
        <v>1076</v>
      </c>
      <c r="P873" t="s">
        <v>3580</v>
      </c>
      <c r="X873">
        <v>5</v>
      </c>
      <c r="AF873" t="s">
        <v>333</v>
      </c>
      <c r="AG873" t="s">
        <v>296</v>
      </c>
      <c r="AH873" t="s">
        <v>333</v>
      </c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0.75</v>
      </c>
      <c r="AT873">
        <v>0</v>
      </c>
      <c r="AU873">
        <v>0</v>
      </c>
      <c r="AV873">
        <v>0</v>
      </c>
      <c r="AW873">
        <v>0</v>
      </c>
      <c r="AX873">
        <v>0</v>
      </c>
      <c r="AY873">
        <v>0</v>
      </c>
      <c r="AZ873">
        <v>0</v>
      </c>
      <c r="BA873">
        <v>0</v>
      </c>
      <c r="BB873">
        <v>0</v>
      </c>
      <c r="BC873">
        <v>0</v>
      </c>
      <c r="BD873">
        <v>77.25</v>
      </c>
      <c r="BE873">
        <v>0</v>
      </c>
      <c r="BF873">
        <v>200</v>
      </c>
      <c r="BG873">
        <v>0</v>
      </c>
      <c r="BH873">
        <v>0</v>
      </c>
      <c r="BI873">
        <v>40</v>
      </c>
      <c r="BJ873">
        <v>0</v>
      </c>
      <c r="BK873">
        <v>0</v>
      </c>
      <c r="BL873">
        <v>0</v>
      </c>
      <c r="BM873">
        <v>0</v>
      </c>
      <c r="BN873">
        <v>318</v>
      </c>
      <c r="BO873">
        <v>50.88</v>
      </c>
      <c r="BP873">
        <v>12.72</v>
      </c>
      <c r="BQ873">
        <f t="shared" si="13"/>
        <v>356.15999999999997</v>
      </c>
      <c r="BR873" t="s">
        <v>832</v>
      </c>
    </row>
    <row r="874" spans="1:70">
      <c r="A874" t="s">
        <v>3607</v>
      </c>
      <c r="B874" t="s">
        <v>3608</v>
      </c>
      <c r="C874" t="s">
        <v>71</v>
      </c>
      <c r="D874" t="s">
        <v>289</v>
      </c>
      <c r="E874" t="s">
        <v>73</v>
      </c>
      <c r="F874" t="s">
        <v>74</v>
      </c>
      <c r="G874">
        <v>242590</v>
      </c>
      <c r="H874" t="s">
        <v>74</v>
      </c>
      <c r="I874" t="s">
        <v>75</v>
      </c>
      <c r="J874" t="s">
        <v>74</v>
      </c>
      <c r="K874" t="s">
        <v>3609</v>
      </c>
      <c r="L874" t="s">
        <v>77</v>
      </c>
      <c r="M874" t="s">
        <v>78</v>
      </c>
      <c r="N874" t="s">
        <v>558</v>
      </c>
      <c r="O874" t="s">
        <v>1688</v>
      </c>
      <c r="P874" t="s">
        <v>3580</v>
      </c>
      <c r="X874">
        <v>25</v>
      </c>
      <c r="AF874" t="s">
        <v>717</v>
      </c>
      <c r="AG874" t="s">
        <v>296</v>
      </c>
      <c r="AH874" t="s">
        <v>717</v>
      </c>
      <c r="AJ874">
        <v>0</v>
      </c>
      <c r="AK874">
        <v>0</v>
      </c>
      <c r="AL874">
        <v>0</v>
      </c>
      <c r="AM874">
        <v>0</v>
      </c>
      <c r="AN874">
        <v>0</v>
      </c>
      <c r="AO874">
        <v>0</v>
      </c>
      <c r="AP874">
        <v>0</v>
      </c>
      <c r="AQ874">
        <v>0</v>
      </c>
      <c r="AR874">
        <v>0</v>
      </c>
      <c r="AS874">
        <v>3.75</v>
      </c>
      <c r="AT874">
        <v>0</v>
      </c>
      <c r="AU874">
        <v>0</v>
      </c>
      <c r="AV874">
        <v>0</v>
      </c>
      <c r="AW874">
        <v>0</v>
      </c>
      <c r="AX874">
        <v>0</v>
      </c>
      <c r="AY874">
        <v>0</v>
      </c>
      <c r="AZ874">
        <v>0</v>
      </c>
      <c r="BA874">
        <v>0</v>
      </c>
      <c r="BB874">
        <v>0</v>
      </c>
      <c r="BC874">
        <v>0</v>
      </c>
      <c r="BD874">
        <v>1154.75</v>
      </c>
      <c r="BE874">
        <v>0</v>
      </c>
      <c r="BF874">
        <v>1000</v>
      </c>
      <c r="BG874">
        <v>0</v>
      </c>
      <c r="BH874">
        <v>0</v>
      </c>
      <c r="BI874">
        <v>200</v>
      </c>
      <c r="BJ874">
        <v>0</v>
      </c>
      <c r="BK874">
        <v>0</v>
      </c>
      <c r="BL874">
        <v>0</v>
      </c>
      <c r="BM874">
        <v>0</v>
      </c>
      <c r="BN874">
        <v>2358.5</v>
      </c>
      <c r="BO874">
        <v>377.36</v>
      </c>
      <c r="BP874">
        <v>94.34</v>
      </c>
      <c r="BQ874">
        <f t="shared" si="13"/>
        <v>2641.52</v>
      </c>
      <c r="BR874" t="s">
        <v>560</v>
      </c>
    </row>
    <row r="875" spans="1:70">
      <c r="A875" t="s">
        <v>3610</v>
      </c>
      <c r="B875" t="s">
        <v>3611</v>
      </c>
      <c r="C875" t="s">
        <v>71</v>
      </c>
      <c r="D875" t="s">
        <v>289</v>
      </c>
      <c r="E875" t="s">
        <v>73</v>
      </c>
      <c r="F875" t="s">
        <v>74</v>
      </c>
      <c r="G875">
        <v>242589</v>
      </c>
      <c r="H875" t="s">
        <v>74</v>
      </c>
      <c r="I875" t="s">
        <v>75</v>
      </c>
      <c r="J875" t="s">
        <v>74</v>
      </c>
      <c r="K875" t="s">
        <v>3612</v>
      </c>
      <c r="L875" t="s">
        <v>77</v>
      </c>
      <c r="M875" t="s">
        <v>78</v>
      </c>
      <c r="N875" t="s">
        <v>438</v>
      </c>
      <c r="O875" t="s">
        <v>1945</v>
      </c>
      <c r="P875" t="s">
        <v>3580</v>
      </c>
      <c r="X875">
        <v>5</v>
      </c>
      <c r="AF875" t="s">
        <v>333</v>
      </c>
      <c r="AG875" t="s">
        <v>296</v>
      </c>
      <c r="AH875" t="s">
        <v>333</v>
      </c>
      <c r="AJ875">
        <v>0</v>
      </c>
      <c r="AK875">
        <v>0</v>
      </c>
      <c r="AL875">
        <v>0</v>
      </c>
      <c r="AM875">
        <v>0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0.75</v>
      </c>
      <c r="AT875">
        <v>0</v>
      </c>
      <c r="AU875">
        <v>0</v>
      </c>
      <c r="AV875">
        <v>0</v>
      </c>
      <c r="AW875">
        <v>0</v>
      </c>
      <c r="AX875">
        <v>0</v>
      </c>
      <c r="AY875">
        <v>0</v>
      </c>
      <c r="AZ875">
        <v>0</v>
      </c>
      <c r="BA875">
        <v>0</v>
      </c>
      <c r="BB875">
        <v>0</v>
      </c>
      <c r="BC875">
        <v>0</v>
      </c>
      <c r="BD875">
        <v>77.25</v>
      </c>
      <c r="BE875">
        <v>0</v>
      </c>
      <c r="BF875">
        <v>200</v>
      </c>
      <c r="BG875">
        <v>0</v>
      </c>
      <c r="BH875">
        <v>0</v>
      </c>
      <c r="BI875">
        <v>40</v>
      </c>
      <c r="BJ875">
        <v>0</v>
      </c>
      <c r="BK875">
        <v>0</v>
      </c>
      <c r="BL875">
        <v>0</v>
      </c>
      <c r="BM875">
        <v>0</v>
      </c>
      <c r="BN875">
        <v>318</v>
      </c>
      <c r="BO875">
        <v>50.88</v>
      </c>
      <c r="BP875">
        <v>12.72</v>
      </c>
      <c r="BQ875">
        <f t="shared" si="13"/>
        <v>356.15999999999997</v>
      </c>
      <c r="BR875" t="s">
        <v>440</v>
      </c>
    </row>
    <row r="876" spans="1:70">
      <c r="A876" t="s">
        <v>3613</v>
      </c>
      <c r="B876" t="s">
        <v>3614</v>
      </c>
      <c r="C876" t="s">
        <v>71</v>
      </c>
      <c r="D876" t="s">
        <v>289</v>
      </c>
      <c r="E876" t="s">
        <v>73</v>
      </c>
      <c r="F876" t="s">
        <v>74</v>
      </c>
      <c r="G876">
        <v>242587</v>
      </c>
      <c r="H876" t="s">
        <v>74</v>
      </c>
      <c r="I876" t="s">
        <v>75</v>
      </c>
      <c r="J876" t="s">
        <v>74</v>
      </c>
      <c r="K876" t="s">
        <v>3615</v>
      </c>
      <c r="L876" t="s">
        <v>77</v>
      </c>
      <c r="M876" t="s">
        <v>78</v>
      </c>
      <c r="N876" t="s">
        <v>175</v>
      </c>
      <c r="O876" t="s">
        <v>3590</v>
      </c>
      <c r="P876" t="s">
        <v>3580</v>
      </c>
      <c r="X876">
        <v>20</v>
      </c>
      <c r="AF876" t="s">
        <v>384</v>
      </c>
      <c r="AG876" t="s">
        <v>296</v>
      </c>
      <c r="AH876" t="s">
        <v>384</v>
      </c>
      <c r="AJ876">
        <v>0</v>
      </c>
      <c r="AK876">
        <v>0</v>
      </c>
      <c r="AL876">
        <v>0</v>
      </c>
      <c r="AM876">
        <v>0</v>
      </c>
      <c r="AN876">
        <v>0</v>
      </c>
      <c r="AO876">
        <v>0</v>
      </c>
      <c r="AP876">
        <v>0</v>
      </c>
      <c r="AQ876">
        <v>0</v>
      </c>
      <c r="AR876">
        <v>0</v>
      </c>
      <c r="AS876">
        <v>3</v>
      </c>
      <c r="AT876">
        <v>0</v>
      </c>
      <c r="AU876">
        <v>0</v>
      </c>
      <c r="AV876">
        <v>0</v>
      </c>
      <c r="AW876">
        <v>0</v>
      </c>
      <c r="AX876">
        <v>0</v>
      </c>
      <c r="AY876">
        <v>0</v>
      </c>
      <c r="AZ876">
        <v>0</v>
      </c>
      <c r="BA876">
        <v>0</v>
      </c>
      <c r="BB876">
        <v>0</v>
      </c>
      <c r="BC876">
        <v>0</v>
      </c>
      <c r="BD876">
        <v>923.8</v>
      </c>
      <c r="BE876">
        <v>0</v>
      </c>
      <c r="BF876">
        <v>800</v>
      </c>
      <c r="BG876">
        <v>0</v>
      </c>
      <c r="BH876">
        <v>0</v>
      </c>
      <c r="BI876">
        <v>160</v>
      </c>
      <c r="BJ876">
        <v>0</v>
      </c>
      <c r="BK876">
        <v>0</v>
      </c>
      <c r="BL876">
        <v>0</v>
      </c>
      <c r="BM876">
        <v>0</v>
      </c>
      <c r="BN876">
        <v>1886.8</v>
      </c>
      <c r="BO876">
        <v>301.89</v>
      </c>
      <c r="BP876">
        <v>75.47</v>
      </c>
      <c r="BQ876">
        <f t="shared" si="13"/>
        <v>2113.2200000000003</v>
      </c>
      <c r="BR876" t="s">
        <v>175</v>
      </c>
    </row>
    <row r="877" spans="1:70">
      <c r="A877" t="s">
        <v>3616</v>
      </c>
      <c r="B877" t="s">
        <v>3617</v>
      </c>
      <c r="C877" t="s">
        <v>71</v>
      </c>
      <c r="D877" t="s">
        <v>289</v>
      </c>
      <c r="E877" t="s">
        <v>73</v>
      </c>
      <c r="F877" t="s">
        <v>74</v>
      </c>
      <c r="G877">
        <v>242647</v>
      </c>
      <c r="H877" t="s">
        <v>74</v>
      </c>
      <c r="I877" t="s">
        <v>75</v>
      </c>
      <c r="J877" t="s">
        <v>74</v>
      </c>
      <c r="K877" t="s">
        <v>3618</v>
      </c>
      <c r="L877" t="s">
        <v>77</v>
      </c>
      <c r="M877" t="s">
        <v>78</v>
      </c>
      <c r="N877" t="s">
        <v>358</v>
      </c>
      <c r="O877" t="s">
        <v>359</v>
      </c>
      <c r="P877" t="s">
        <v>3580</v>
      </c>
      <c r="X877">
        <v>9</v>
      </c>
      <c r="AF877" t="s">
        <v>407</v>
      </c>
      <c r="AG877" t="s">
        <v>296</v>
      </c>
      <c r="AH877" t="s">
        <v>407</v>
      </c>
      <c r="AJ877">
        <v>0</v>
      </c>
      <c r="AK877">
        <v>0</v>
      </c>
      <c r="AL877">
        <v>0</v>
      </c>
      <c r="AM877">
        <v>0</v>
      </c>
      <c r="AN877">
        <v>0</v>
      </c>
      <c r="AO877">
        <v>0</v>
      </c>
      <c r="AP877">
        <v>0</v>
      </c>
      <c r="AQ877">
        <v>0</v>
      </c>
      <c r="AR877">
        <v>0</v>
      </c>
      <c r="AS877">
        <v>1.35</v>
      </c>
      <c r="AT877">
        <v>0</v>
      </c>
      <c r="AU877">
        <v>0</v>
      </c>
      <c r="AV877">
        <v>0</v>
      </c>
      <c r="AW877">
        <v>0</v>
      </c>
      <c r="AX877">
        <v>0</v>
      </c>
      <c r="AY877">
        <v>0</v>
      </c>
      <c r="AZ877">
        <v>0</v>
      </c>
      <c r="BA877">
        <v>0</v>
      </c>
      <c r="BB877">
        <v>0</v>
      </c>
      <c r="BC877">
        <v>0</v>
      </c>
      <c r="BD877">
        <v>415.71</v>
      </c>
      <c r="BE877">
        <v>0</v>
      </c>
      <c r="BF877">
        <v>360</v>
      </c>
      <c r="BG877">
        <v>0</v>
      </c>
      <c r="BH877">
        <v>0</v>
      </c>
      <c r="BI877">
        <v>72</v>
      </c>
      <c r="BJ877">
        <v>0</v>
      </c>
      <c r="BK877">
        <v>0</v>
      </c>
      <c r="BL877">
        <v>0</v>
      </c>
      <c r="BM877">
        <v>0</v>
      </c>
      <c r="BN877">
        <v>849.06</v>
      </c>
      <c r="BO877">
        <v>135.85</v>
      </c>
      <c r="BP877">
        <v>33.96</v>
      </c>
      <c r="BQ877">
        <f t="shared" si="13"/>
        <v>950.94999999999993</v>
      </c>
      <c r="BR877" t="s">
        <v>358</v>
      </c>
    </row>
    <row r="878" spans="1:70">
      <c r="A878" t="s">
        <v>3619</v>
      </c>
      <c r="B878" t="s">
        <v>3620</v>
      </c>
      <c r="C878" t="s">
        <v>71</v>
      </c>
      <c r="D878" t="s">
        <v>289</v>
      </c>
      <c r="E878" t="s">
        <v>73</v>
      </c>
      <c r="F878" t="s">
        <v>74</v>
      </c>
      <c r="G878">
        <v>242644</v>
      </c>
      <c r="H878" t="s">
        <v>74</v>
      </c>
      <c r="I878" t="s">
        <v>75</v>
      </c>
      <c r="J878" t="s">
        <v>74</v>
      </c>
      <c r="K878" t="s">
        <v>3621</v>
      </c>
      <c r="L878" t="s">
        <v>77</v>
      </c>
      <c r="M878" t="s">
        <v>78</v>
      </c>
      <c r="N878" t="s">
        <v>832</v>
      </c>
      <c r="O878" t="s">
        <v>1679</v>
      </c>
      <c r="P878" t="s">
        <v>3580</v>
      </c>
      <c r="X878">
        <v>10</v>
      </c>
      <c r="AF878" t="s">
        <v>372</v>
      </c>
      <c r="AG878" t="s">
        <v>296</v>
      </c>
      <c r="AH878" t="s">
        <v>372</v>
      </c>
      <c r="AJ878">
        <v>0</v>
      </c>
      <c r="AK878">
        <v>0</v>
      </c>
      <c r="AL878">
        <v>0</v>
      </c>
      <c r="AM878">
        <v>0</v>
      </c>
      <c r="AN878">
        <v>0</v>
      </c>
      <c r="AO878">
        <v>0</v>
      </c>
      <c r="AP878">
        <v>0</v>
      </c>
      <c r="AQ878">
        <v>0</v>
      </c>
      <c r="AR878">
        <v>0</v>
      </c>
      <c r="AS878">
        <v>1.5</v>
      </c>
      <c r="AT878">
        <v>0</v>
      </c>
      <c r="AU878">
        <v>0</v>
      </c>
      <c r="AV878">
        <v>0</v>
      </c>
      <c r="AW878">
        <v>0</v>
      </c>
      <c r="AX878">
        <v>0</v>
      </c>
      <c r="AY878">
        <v>0</v>
      </c>
      <c r="AZ878">
        <v>0</v>
      </c>
      <c r="BA878">
        <v>0</v>
      </c>
      <c r="BB878">
        <v>0</v>
      </c>
      <c r="BC878">
        <v>0</v>
      </c>
      <c r="BD878">
        <v>154.5</v>
      </c>
      <c r="BE878">
        <v>0</v>
      </c>
      <c r="BF878">
        <v>400</v>
      </c>
      <c r="BG878">
        <v>0</v>
      </c>
      <c r="BH878">
        <v>0</v>
      </c>
      <c r="BI878">
        <v>80</v>
      </c>
      <c r="BJ878">
        <v>0</v>
      </c>
      <c r="BK878">
        <v>0</v>
      </c>
      <c r="BL878">
        <v>0</v>
      </c>
      <c r="BM878">
        <v>0</v>
      </c>
      <c r="BN878">
        <v>636</v>
      </c>
      <c r="BO878">
        <v>101.76</v>
      </c>
      <c r="BP878">
        <v>25.44</v>
      </c>
      <c r="BQ878">
        <f t="shared" si="13"/>
        <v>712.31999999999994</v>
      </c>
      <c r="BR878" t="s">
        <v>832</v>
      </c>
    </row>
    <row r="879" spans="1:70">
      <c r="A879" t="s">
        <v>3622</v>
      </c>
      <c r="B879" t="s">
        <v>3623</v>
      </c>
      <c r="C879" t="s">
        <v>71</v>
      </c>
      <c r="D879" t="s">
        <v>289</v>
      </c>
      <c r="E879" t="s">
        <v>73</v>
      </c>
      <c r="F879" t="s">
        <v>74</v>
      </c>
      <c r="G879">
        <v>242639</v>
      </c>
      <c r="H879" t="s">
        <v>74</v>
      </c>
      <c r="I879" t="s">
        <v>75</v>
      </c>
      <c r="J879" t="s">
        <v>74</v>
      </c>
      <c r="K879" t="s">
        <v>3624</v>
      </c>
      <c r="L879" t="s">
        <v>77</v>
      </c>
      <c r="M879" t="s">
        <v>78</v>
      </c>
      <c r="N879" t="s">
        <v>499</v>
      </c>
      <c r="O879" t="s">
        <v>1415</v>
      </c>
      <c r="P879" t="s">
        <v>3580</v>
      </c>
      <c r="X879">
        <v>24</v>
      </c>
      <c r="AF879" t="s">
        <v>1177</v>
      </c>
      <c r="AG879" t="s">
        <v>296</v>
      </c>
      <c r="AH879" t="s">
        <v>1177</v>
      </c>
      <c r="AJ879">
        <v>0</v>
      </c>
      <c r="AK879">
        <v>0</v>
      </c>
      <c r="AL879">
        <v>0</v>
      </c>
      <c r="AM879">
        <v>0</v>
      </c>
      <c r="AN879">
        <v>0</v>
      </c>
      <c r="AO879">
        <v>0</v>
      </c>
      <c r="AP879">
        <v>0</v>
      </c>
      <c r="AQ879">
        <v>0</v>
      </c>
      <c r="AR879">
        <v>0</v>
      </c>
      <c r="AS879">
        <v>3.6</v>
      </c>
      <c r="AT879">
        <v>0</v>
      </c>
      <c r="AU879">
        <v>0</v>
      </c>
      <c r="AV879">
        <v>0</v>
      </c>
      <c r="AW879">
        <v>0</v>
      </c>
      <c r="AX879">
        <v>0</v>
      </c>
      <c r="AY879">
        <v>0</v>
      </c>
      <c r="AZ879">
        <v>0</v>
      </c>
      <c r="BA879">
        <v>0</v>
      </c>
      <c r="BB879">
        <v>0</v>
      </c>
      <c r="BC879">
        <v>0</v>
      </c>
      <c r="BD879">
        <v>1108.56</v>
      </c>
      <c r="BE879">
        <v>0</v>
      </c>
      <c r="BF879">
        <v>960</v>
      </c>
      <c r="BG879">
        <v>0</v>
      </c>
      <c r="BH879">
        <v>0</v>
      </c>
      <c r="BI879">
        <v>192</v>
      </c>
      <c r="BJ879">
        <v>0</v>
      </c>
      <c r="BK879">
        <v>0</v>
      </c>
      <c r="BL879">
        <v>0</v>
      </c>
      <c r="BM879">
        <v>0</v>
      </c>
      <c r="BN879">
        <v>2264.16</v>
      </c>
      <c r="BO879">
        <v>362.27</v>
      </c>
      <c r="BP879">
        <v>90.56</v>
      </c>
      <c r="BQ879">
        <f t="shared" si="13"/>
        <v>2535.87</v>
      </c>
      <c r="BR879" t="s">
        <v>501</v>
      </c>
    </row>
    <row r="880" spans="1:70">
      <c r="A880" t="s">
        <v>3625</v>
      </c>
      <c r="B880" t="s">
        <v>3626</v>
      </c>
      <c r="C880" t="s">
        <v>71</v>
      </c>
      <c r="D880" t="s">
        <v>289</v>
      </c>
      <c r="E880" t="s">
        <v>73</v>
      </c>
      <c r="F880" t="s">
        <v>74</v>
      </c>
      <c r="G880">
        <v>242638</v>
      </c>
      <c r="H880" t="s">
        <v>74</v>
      </c>
      <c r="I880" t="s">
        <v>75</v>
      </c>
      <c r="J880" t="s">
        <v>74</v>
      </c>
      <c r="K880" t="s">
        <v>3627</v>
      </c>
      <c r="L880" t="s">
        <v>77</v>
      </c>
      <c r="M880" t="s">
        <v>78</v>
      </c>
      <c r="N880" t="s">
        <v>343</v>
      </c>
      <c r="O880" t="s">
        <v>1202</v>
      </c>
      <c r="P880" t="s">
        <v>3580</v>
      </c>
      <c r="X880">
        <v>6</v>
      </c>
      <c r="AF880" t="s">
        <v>400</v>
      </c>
      <c r="AG880" t="s">
        <v>296</v>
      </c>
      <c r="AH880" t="s">
        <v>400</v>
      </c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  <c r="AP880">
        <v>0</v>
      </c>
      <c r="AQ880">
        <v>0</v>
      </c>
      <c r="AR880">
        <v>0</v>
      </c>
      <c r="AS880">
        <v>0.9</v>
      </c>
      <c r="AT880">
        <v>0</v>
      </c>
      <c r="AU880">
        <v>0</v>
      </c>
      <c r="AV880">
        <v>0</v>
      </c>
      <c r="AW880">
        <v>0</v>
      </c>
      <c r="AX880">
        <v>0</v>
      </c>
      <c r="AY880">
        <v>0</v>
      </c>
      <c r="AZ880">
        <v>0</v>
      </c>
      <c r="BA880">
        <v>0</v>
      </c>
      <c r="BB880">
        <v>0</v>
      </c>
      <c r="BC880">
        <v>0</v>
      </c>
      <c r="BD880">
        <v>92.7</v>
      </c>
      <c r="BE880">
        <v>0</v>
      </c>
      <c r="BF880">
        <v>240</v>
      </c>
      <c r="BG880">
        <v>0</v>
      </c>
      <c r="BH880">
        <v>0</v>
      </c>
      <c r="BI880">
        <v>48</v>
      </c>
      <c r="BJ880">
        <v>0</v>
      </c>
      <c r="BK880">
        <v>0</v>
      </c>
      <c r="BL880">
        <v>0</v>
      </c>
      <c r="BM880">
        <v>0</v>
      </c>
      <c r="BN880">
        <v>381.6</v>
      </c>
      <c r="BO880">
        <v>61.05</v>
      </c>
      <c r="BP880">
        <v>15.27</v>
      </c>
      <c r="BQ880">
        <f t="shared" si="13"/>
        <v>427.38000000000005</v>
      </c>
      <c r="BR880" t="s">
        <v>343</v>
      </c>
    </row>
    <row r="881" spans="1:70">
      <c r="A881" t="s">
        <v>3628</v>
      </c>
      <c r="B881" t="s">
        <v>3629</v>
      </c>
      <c r="C881" t="s">
        <v>71</v>
      </c>
      <c r="D881" t="s">
        <v>289</v>
      </c>
      <c r="E881" t="s">
        <v>73</v>
      </c>
      <c r="F881" t="s">
        <v>74</v>
      </c>
      <c r="G881">
        <v>242629</v>
      </c>
      <c r="H881" t="s">
        <v>74</v>
      </c>
      <c r="I881" t="s">
        <v>75</v>
      </c>
      <c r="K881" t="s">
        <v>3630</v>
      </c>
      <c r="L881" t="s">
        <v>77</v>
      </c>
      <c r="M881" t="s">
        <v>78</v>
      </c>
      <c r="N881" t="s">
        <v>106</v>
      </c>
      <c r="O881" t="s">
        <v>2715</v>
      </c>
      <c r="P881" t="s">
        <v>3580</v>
      </c>
      <c r="X881">
        <v>10</v>
      </c>
      <c r="AF881" t="s">
        <v>372</v>
      </c>
      <c r="AG881" t="s">
        <v>296</v>
      </c>
      <c r="AH881" t="s">
        <v>372</v>
      </c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  <c r="AP881">
        <v>0</v>
      </c>
      <c r="AQ881">
        <v>0</v>
      </c>
      <c r="AR881">
        <v>0</v>
      </c>
      <c r="AS881">
        <v>1.5</v>
      </c>
      <c r="AT881">
        <v>0</v>
      </c>
      <c r="AU881">
        <v>0</v>
      </c>
      <c r="AV881">
        <v>0</v>
      </c>
      <c r="AW881">
        <v>0</v>
      </c>
      <c r="AX881">
        <v>0</v>
      </c>
      <c r="AY881">
        <v>0</v>
      </c>
      <c r="AZ881">
        <v>0</v>
      </c>
      <c r="BA881">
        <v>0</v>
      </c>
      <c r="BB881">
        <v>0</v>
      </c>
      <c r="BC881">
        <v>0</v>
      </c>
      <c r="BD881">
        <v>461.9</v>
      </c>
      <c r="BE881">
        <v>0</v>
      </c>
      <c r="BF881">
        <v>400</v>
      </c>
      <c r="BG881">
        <v>0</v>
      </c>
      <c r="BH881">
        <v>0</v>
      </c>
      <c r="BI881">
        <v>80</v>
      </c>
      <c r="BJ881">
        <v>0</v>
      </c>
      <c r="BK881">
        <v>0</v>
      </c>
      <c r="BL881">
        <v>0</v>
      </c>
      <c r="BM881">
        <v>0</v>
      </c>
      <c r="BN881">
        <v>943.4</v>
      </c>
      <c r="BO881">
        <v>150.94</v>
      </c>
      <c r="BP881">
        <v>37.74</v>
      </c>
      <c r="BQ881">
        <f t="shared" si="13"/>
        <v>1056.5999999999999</v>
      </c>
      <c r="BR881" t="s">
        <v>106</v>
      </c>
    </row>
    <row r="882" spans="1:70">
      <c r="A882" t="s">
        <v>3631</v>
      </c>
      <c r="B882" t="s">
        <v>3632</v>
      </c>
      <c r="C882" t="s">
        <v>71</v>
      </c>
      <c r="D882" t="s">
        <v>289</v>
      </c>
      <c r="E882" t="s">
        <v>73</v>
      </c>
      <c r="F882" t="s">
        <v>74</v>
      </c>
      <c r="G882">
        <v>242625</v>
      </c>
      <c r="H882" t="s">
        <v>74</v>
      </c>
      <c r="I882" t="s">
        <v>75</v>
      </c>
      <c r="K882" t="s">
        <v>3633</v>
      </c>
      <c r="L882" t="s">
        <v>77</v>
      </c>
      <c r="M882" t="s">
        <v>78</v>
      </c>
      <c r="N882" t="s">
        <v>816</v>
      </c>
      <c r="O882" t="s">
        <v>2175</v>
      </c>
      <c r="P882" t="s">
        <v>3580</v>
      </c>
      <c r="X882">
        <v>19</v>
      </c>
      <c r="AF882" t="s">
        <v>569</v>
      </c>
      <c r="AG882" t="s">
        <v>296</v>
      </c>
      <c r="AH882" t="s">
        <v>569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  <c r="AP882">
        <v>0</v>
      </c>
      <c r="AQ882">
        <v>0</v>
      </c>
      <c r="AR882">
        <v>0</v>
      </c>
      <c r="AS882">
        <v>2.85</v>
      </c>
      <c r="AT882">
        <v>0</v>
      </c>
      <c r="AU882">
        <v>0</v>
      </c>
      <c r="AV882">
        <v>0</v>
      </c>
      <c r="AW882">
        <v>0</v>
      </c>
      <c r="AX882">
        <v>0</v>
      </c>
      <c r="AY882">
        <v>0</v>
      </c>
      <c r="AZ882">
        <v>0</v>
      </c>
      <c r="BA882">
        <v>0</v>
      </c>
      <c r="BB882">
        <v>0</v>
      </c>
      <c r="BC882">
        <v>0</v>
      </c>
      <c r="BD882">
        <v>877.61</v>
      </c>
      <c r="BE882">
        <v>0</v>
      </c>
      <c r="BF882">
        <v>760</v>
      </c>
      <c r="BG882">
        <v>0</v>
      </c>
      <c r="BH882">
        <v>0</v>
      </c>
      <c r="BI882">
        <v>152</v>
      </c>
      <c r="BJ882">
        <v>0</v>
      </c>
      <c r="BK882">
        <v>0</v>
      </c>
      <c r="BL882">
        <v>0</v>
      </c>
      <c r="BM882">
        <v>0</v>
      </c>
      <c r="BN882">
        <v>1792.46</v>
      </c>
      <c r="BO882">
        <v>286.8</v>
      </c>
      <c r="BP882">
        <v>71.69</v>
      </c>
      <c r="BQ882">
        <f t="shared" si="13"/>
        <v>2007.5700000000002</v>
      </c>
      <c r="BR882" t="s">
        <v>332</v>
      </c>
    </row>
    <row r="883" spans="1:70">
      <c r="A883" t="s">
        <v>3634</v>
      </c>
      <c r="B883" t="s">
        <v>3635</v>
      </c>
      <c r="C883" t="s">
        <v>71</v>
      </c>
      <c r="D883" t="s">
        <v>289</v>
      </c>
      <c r="E883" t="s">
        <v>73</v>
      </c>
      <c r="F883" t="s">
        <v>74</v>
      </c>
      <c r="G883">
        <v>242619</v>
      </c>
      <c r="H883" t="s">
        <v>74</v>
      </c>
      <c r="I883" t="s">
        <v>75</v>
      </c>
      <c r="J883" t="s">
        <v>74</v>
      </c>
      <c r="K883" t="s">
        <v>3636</v>
      </c>
      <c r="L883" t="s">
        <v>77</v>
      </c>
      <c r="M883" t="s">
        <v>78</v>
      </c>
      <c r="N883" t="s">
        <v>312</v>
      </c>
      <c r="O883" t="s">
        <v>3637</v>
      </c>
      <c r="P883" t="s">
        <v>3580</v>
      </c>
      <c r="X883">
        <v>15</v>
      </c>
      <c r="AF883" t="s">
        <v>235</v>
      </c>
      <c r="AG883" t="s">
        <v>296</v>
      </c>
      <c r="AH883" t="s">
        <v>235</v>
      </c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2.25</v>
      </c>
      <c r="AT883">
        <v>0</v>
      </c>
      <c r="AU883">
        <v>0</v>
      </c>
      <c r="AV883">
        <v>0</v>
      </c>
      <c r="AW883">
        <v>0</v>
      </c>
      <c r="AX883">
        <v>0</v>
      </c>
      <c r="AY883">
        <v>0</v>
      </c>
      <c r="AZ883">
        <v>0</v>
      </c>
      <c r="BA883">
        <v>0</v>
      </c>
      <c r="BB883">
        <v>0</v>
      </c>
      <c r="BC883">
        <v>0</v>
      </c>
      <c r="BD883">
        <v>231.75</v>
      </c>
      <c r="BE883">
        <v>0</v>
      </c>
      <c r="BF883">
        <v>600</v>
      </c>
      <c r="BG883">
        <v>0</v>
      </c>
      <c r="BH883">
        <v>0</v>
      </c>
      <c r="BI883">
        <v>120</v>
      </c>
      <c r="BJ883">
        <v>0</v>
      </c>
      <c r="BK883">
        <v>0</v>
      </c>
      <c r="BL883">
        <v>0</v>
      </c>
      <c r="BM883">
        <v>0</v>
      </c>
      <c r="BN883">
        <v>954</v>
      </c>
      <c r="BO883">
        <v>152.63999999999999</v>
      </c>
      <c r="BP883">
        <v>38.159999999999997</v>
      </c>
      <c r="BQ883">
        <f t="shared" si="13"/>
        <v>1068.4799999999998</v>
      </c>
      <c r="BR883" t="s">
        <v>312</v>
      </c>
    </row>
    <row r="884" spans="1:70">
      <c r="A884" t="s">
        <v>3638</v>
      </c>
      <c r="B884" t="s">
        <v>3639</v>
      </c>
      <c r="C884" t="s">
        <v>71</v>
      </c>
      <c r="D884" t="s">
        <v>289</v>
      </c>
      <c r="E884" t="s">
        <v>73</v>
      </c>
      <c r="F884" t="s">
        <v>74</v>
      </c>
      <c r="G884">
        <v>242603</v>
      </c>
      <c r="H884" t="s">
        <v>74</v>
      </c>
      <c r="I884" t="s">
        <v>75</v>
      </c>
      <c r="J884" t="s">
        <v>74</v>
      </c>
      <c r="K884" t="s">
        <v>3640</v>
      </c>
      <c r="L884" t="s">
        <v>77</v>
      </c>
      <c r="M884" t="s">
        <v>78</v>
      </c>
      <c r="N884" t="s">
        <v>438</v>
      </c>
      <c r="O884" t="s">
        <v>3641</v>
      </c>
      <c r="P884" t="s">
        <v>231</v>
      </c>
      <c r="AB884">
        <v>3</v>
      </c>
      <c r="AF884" t="s">
        <v>314</v>
      </c>
      <c r="AG884" t="s">
        <v>296</v>
      </c>
      <c r="AH884" t="s">
        <v>314</v>
      </c>
      <c r="AJ884">
        <v>0</v>
      </c>
      <c r="AK884">
        <v>0</v>
      </c>
      <c r="AL884">
        <v>0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0</v>
      </c>
      <c r="AS884">
        <v>0.45</v>
      </c>
      <c r="AT884">
        <v>0</v>
      </c>
      <c r="AU884">
        <v>0</v>
      </c>
      <c r="AV884">
        <v>0</v>
      </c>
      <c r="AW884">
        <v>0</v>
      </c>
      <c r="AX884">
        <v>0</v>
      </c>
      <c r="AY884">
        <v>0</v>
      </c>
      <c r="AZ884">
        <v>0</v>
      </c>
      <c r="BA884">
        <v>0</v>
      </c>
      <c r="BB884">
        <v>0</v>
      </c>
      <c r="BC884">
        <v>0</v>
      </c>
      <c r="BD884">
        <v>279.54000000000002</v>
      </c>
      <c r="BE884">
        <v>0</v>
      </c>
      <c r="BF884">
        <v>120</v>
      </c>
      <c r="BG884">
        <v>0</v>
      </c>
      <c r="BH884">
        <v>0</v>
      </c>
      <c r="BI884">
        <v>24</v>
      </c>
      <c r="BJ884">
        <v>0</v>
      </c>
      <c r="BK884">
        <v>0</v>
      </c>
      <c r="BL884">
        <v>0</v>
      </c>
      <c r="BM884">
        <v>0</v>
      </c>
      <c r="BN884">
        <v>423.99</v>
      </c>
      <c r="BO884">
        <v>67.84</v>
      </c>
      <c r="BP884">
        <v>16.96</v>
      </c>
      <c r="BQ884">
        <f t="shared" si="13"/>
        <v>474.87000000000006</v>
      </c>
      <c r="BR884" t="s">
        <v>440</v>
      </c>
    </row>
    <row r="885" spans="1:70">
      <c r="A885" t="s">
        <v>3642</v>
      </c>
      <c r="B885" t="s">
        <v>3643</v>
      </c>
      <c r="C885" t="s">
        <v>71</v>
      </c>
      <c r="D885" t="s">
        <v>289</v>
      </c>
      <c r="E885" t="s">
        <v>73</v>
      </c>
      <c r="F885" t="s">
        <v>74</v>
      </c>
      <c r="G885" t="s">
        <v>3644</v>
      </c>
      <c r="H885" t="s">
        <v>74</v>
      </c>
      <c r="I885" t="s">
        <v>75</v>
      </c>
      <c r="J885" t="s">
        <v>74</v>
      </c>
      <c r="K885" t="s">
        <v>3645</v>
      </c>
      <c r="L885" t="s">
        <v>77</v>
      </c>
      <c r="M885" t="s">
        <v>78</v>
      </c>
      <c r="N885" t="s">
        <v>3646</v>
      </c>
      <c r="O885" t="s">
        <v>3647</v>
      </c>
      <c r="P885" t="s">
        <v>231</v>
      </c>
      <c r="V885">
        <v>1</v>
      </c>
      <c r="AF885" t="s">
        <v>295</v>
      </c>
      <c r="AG885" t="s">
        <v>296</v>
      </c>
      <c r="AH885" t="s">
        <v>295</v>
      </c>
      <c r="AJ885">
        <v>0</v>
      </c>
      <c r="AK885">
        <v>0</v>
      </c>
      <c r="AL885">
        <v>0</v>
      </c>
      <c r="AM885">
        <v>0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0.15</v>
      </c>
      <c r="AT885">
        <v>0</v>
      </c>
      <c r="AU885">
        <v>0</v>
      </c>
      <c r="AV885">
        <v>0</v>
      </c>
      <c r="AW885">
        <v>0</v>
      </c>
      <c r="AX885">
        <v>0</v>
      </c>
      <c r="AY885">
        <v>0</v>
      </c>
      <c r="AZ885">
        <v>0</v>
      </c>
      <c r="BA885">
        <v>0</v>
      </c>
      <c r="BB885">
        <v>0</v>
      </c>
      <c r="BC885">
        <v>0</v>
      </c>
      <c r="BD885">
        <v>375.85</v>
      </c>
      <c r="BE885">
        <v>0</v>
      </c>
      <c r="BF885">
        <v>40</v>
      </c>
      <c r="BG885">
        <v>0</v>
      </c>
      <c r="BH885">
        <v>0</v>
      </c>
      <c r="BI885">
        <v>8</v>
      </c>
      <c r="BJ885">
        <v>0</v>
      </c>
      <c r="BK885">
        <v>0</v>
      </c>
      <c r="BL885">
        <v>0</v>
      </c>
      <c r="BM885">
        <v>0</v>
      </c>
      <c r="BN885">
        <v>424</v>
      </c>
      <c r="BO885">
        <v>67.84</v>
      </c>
      <c r="BP885">
        <v>16.96</v>
      </c>
      <c r="BQ885">
        <f t="shared" si="13"/>
        <v>474.88000000000005</v>
      </c>
      <c r="BR885" t="s">
        <v>801</v>
      </c>
    </row>
    <row r="886" spans="1:70">
      <c r="A886" t="s">
        <v>3648</v>
      </c>
      <c r="B886" t="s">
        <v>3649</v>
      </c>
      <c r="C886" t="s">
        <v>71</v>
      </c>
      <c r="D886" t="s">
        <v>289</v>
      </c>
      <c r="E886" t="s">
        <v>73</v>
      </c>
      <c r="F886" t="s">
        <v>74</v>
      </c>
      <c r="G886">
        <v>242734</v>
      </c>
      <c r="H886" t="s">
        <v>74</v>
      </c>
      <c r="I886" t="s">
        <v>75</v>
      </c>
      <c r="J886" t="s">
        <v>74</v>
      </c>
      <c r="K886" t="s">
        <v>3650</v>
      </c>
      <c r="L886" t="s">
        <v>77</v>
      </c>
      <c r="M886" t="s">
        <v>78</v>
      </c>
      <c r="N886" t="s">
        <v>501</v>
      </c>
      <c r="O886" t="s">
        <v>3651</v>
      </c>
      <c r="P886" t="s">
        <v>231</v>
      </c>
      <c r="X886">
        <v>15</v>
      </c>
      <c r="AF886" t="s">
        <v>235</v>
      </c>
      <c r="AG886" t="s">
        <v>296</v>
      </c>
      <c r="AH886" t="s">
        <v>235</v>
      </c>
      <c r="AJ886">
        <v>0</v>
      </c>
      <c r="AK886">
        <v>0</v>
      </c>
      <c r="AL886">
        <v>0</v>
      </c>
      <c r="AM886">
        <v>0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2.25</v>
      </c>
      <c r="AT886">
        <v>0</v>
      </c>
      <c r="AU886">
        <v>0</v>
      </c>
      <c r="AV886">
        <v>0</v>
      </c>
      <c r="AW886">
        <v>0</v>
      </c>
      <c r="AX886">
        <v>0</v>
      </c>
      <c r="AY886">
        <v>0</v>
      </c>
      <c r="AZ886">
        <v>0</v>
      </c>
      <c r="BA886">
        <v>0</v>
      </c>
      <c r="BB886">
        <v>0</v>
      </c>
      <c r="BC886">
        <v>0</v>
      </c>
      <c r="BD886">
        <v>692.85</v>
      </c>
      <c r="BE886">
        <v>0</v>
      </c>
      <c r="BF886">
        <v>600</v>
      </c>
      <c r="BG886">
        <v>0</v>
      </c>
      <c r="BH886">
        <v>0</v>
      </c>
      <c r="BI886">
        <v>120</v>
      </c>
      <c r="BJ886">
        <v>0</v>
      </c>
      <c r="BK886">
        <v>0</v>
      </c>
      <c r="BL886">
        <v>0</v>
      </c>
      <c r="BM886">
        <v>0</v>
      </c>
      <c r="BN886">
        <v>1415.1</v>
      </c>
      <c r="BO886">
        <v>226.42</v>
      </c>
      <c r="BP886">
        <v>56.6</v>
      </c>
      <c r="BQ886">
        <f t="shared" si="13"/>
        <v>1584.92</v>
      </c>
      <c r="BR886" t="s">
        <v>501</v>
      </c>
    </row>
    <row r="887" spans="1:70">
      <c r="A887" t="s">
        <v>3652</v>
      </c>
      <c r="B887" t="s">
        <v>3653</v>
      </c>
      <c r="C887" t="s">
        <v>71</v>
      </c>
      <c r="D887" t="s">
        <v>289</v>
      </c>
      <c r="E887" t="s">
        <v>73</v>
      </c>
      <c r="F887" t="s">
        <v>74</v>
      </c>
      <c r="G887">
        <v>242718</v>
      </c>
      <c r="H887" t="s">
        <v>74</v>
      </c>
      <c r="I887" t="s">
        <v>75</v>
      </c>
      <c r="J887" t="s">
        <v>74</v>
      </c>
      <c r="K887" t="s">
        <v>3654</v>
      </c>
      <c r="L887" t="s">
        <v>77</v>
      </c>
      <c r="M887" t="s">
        <v>78</v>
      </c>
      <c r="N887" t="s">
        <v>343</v>
      </c>
      <c r="O887" t="s">
        <v>1885</v>
      </c>
      <c r="P887" t="s">
        <v>231</v>
      </c>
      <c r="X887">
        <v>9</v>
      </c>
      <c r="AF887" t="s">
        <v>407</v>
      </c>
      <c r="AG887" t="s">
        <v>296</v>
      </c>
      <c r="AH887" t="s">
        <v>407</v>
      </c>
      <c r="AJ887">
        <v>0</v>
      </c>
      <c r="AK887">
        <v>0</v>
      </c>
      <c r="AL887">
        <v>0</v>
      </c>
      <c r="AM887">
        <v>0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1.35</v>
      </c>
      <c r="AT887">
        <v>0</v>
      </c>
      <c r="AU887">
        <v>0</v>
      </c>
      <c r="AV887">
        <v>0</v>
      </c>
      <c r="AW887">
        <v>0</v>
      </c>
      <c r="AX887">
        <v>0</v>
      </c>
      <c r="AY887">
        <v>0</v>
      </c>
      <c r="AZ887">
        <v>0</v>
      </c>
      <c r="BA887">
        <v>0</v>
      </c>
      <c r="BB887">
        <v>0</v>
      </c>
      <c r="BC887">
        <v>0</v>
      </c>
      <c r="BD887">
        <v>139.05000000000001</v>
      </c>
      <c r="BE887">
        <v>0</v>
      </c>
      <c r="BF887">
        <v>360</v>
      </c>
      <c r="BG887">
        <v>0</v>
      </c>
      <c r="BH887">
        <v>0</v>
      </c>
      <c r="BI887">
        <v>72</v>
      </c>
      <c r="BJ887">
        <v>0</v>
      </c>
      <c r="BK887">
        <v>0</v>
      </c>
      <c r="BL887">
        <v>0</v>
      </c>
      <c r="BM887">
        <v>0</v>
      </c>
      <c r="BN887">
        <v>572.4</v>
      </c>
      <c r="BO887">
        <v>91.59</v>
      </c>
      <c r="BP887">
        <v>22.89</v>
      </c>
      <c r="BQ887">
        <f t="shared" si="13"/>
        <v>641.1</v>
      </c>
      <c r="BR887" t="s">
        <v>343</v>
      </c>
    </row>
    <row r="888" spans="1:70">
      <c r="A888" t="s">
        <v>3655</v>
      </c>
      <c r="B888" t="s">
        <v>3656</v>
      </c>
      <c r="C888" t="s">
        <v>71</v>
      </c>
      <c r="D888" t="s">
        <v>289</v>
      </c>
      <c r="E888" t="s">
        <v>73</v>
      </c>
      <c r="F888" t="s">
        <v>74</v>
      </c>
      <c r="G888">
        <v>242716</v>
      </c>
      <c r="H888" t="s">
        <v>74</v>
      </c>
      <c r="I888" t="s">
        <v>75</v>
      </c>
      <c r="K888" t="s">
        <v>3657</v>
      </c>
      <c r="L888" t="s">
        <v>77</v>
      </c>
      <c r="M888" t="s">
        <v>78</v>
      </c>
      <c r="N888" t="s">
        <v>343</v>
      </c>
      <c r="O888" t="s">
        <v>625</v>
      </c>
      <c r="P888" t="s">
        <v>231</v>
      </c>
      <c r="X888">
        <v>7</v>
      </c>
      <c r="AF888" t="s">
        <v>345</v>
      </c>
      <c r="AG888" t="s">
        <v>296</v>
      </c>
      <c r="AH888" t="s">
        <v>345</v>
      </c>
      <c r="AJ888">
        <v>0</v>
      </c>
      <c r="AK888">
        <v>0</v>
      </c>
      <c r="AL888">
        <v>0</v>
      </c>
      <c r="AM888">
        <v>0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1.05</v>
      </c>
      <c r="AT888">
        <v>0</v>
      </c>
      <c r="AU888">
        <v>0</v>
      </c>
      <c r="AV888">
        <v>0</v>
      </c>
      <c r="AW888">
        <v>0</v>
      </c>
      <c r="AX888">
        <v>0</v>
      </c>
      <c r="AY888">
        <v>0</v>
      </c>
      <c r="AZ888">
        <v>0</v>
      </c>
      <c r="BA888">
        <v>0</v>
      </c>
      <c r="BB888">
        <v>0</v>
      </c>
      <c r="BC888">
        <v>0</v>
      </c>
      <c r="BD888">
        <v>108.15</v>
      </c>
      <c r="BE888">
        <v>0</v>
      </c>
      <c r="BF888">
        <v>280</v>
      </c>
      <c r="BG888">
        <v>0</v>
      </c>
      <c r="BH888">
        <v>0</v>
      </c>
      <c r="BI888">
        <v>56</v>
      </c>
      <c r="BJ888">
        <v>0</v>
      </c>
      <c r="BK888">
        <v>0</v>
      </c>
      <c r="BL888">
        <v>0</v>
      </c>
      <c r="BM888">
        <v>0</v>
      </c>
      <c r="BN888">
        <v>445.2</v>
      </c>
      <c r="BO888">
        <v>71.23</v>
      </c>
      <c r="BP888">
        <v>17.809999999999999</v>
      </c>
      <c r="BQ888">
        <f t="shared" si="13"/>
        <v>498.61999999999995</v>
      </c>
      <c r="BR888" t="s">
        <v>343</v>
      </c>
    </row>
    <row r="889" spans="1:70">
      <c r="A889" t="s">
        <v>3658</v>
      </c>
      <c r="B889" t="s">
        <v>3659</v>
      </c>
      <c r="C889" t="s">
        <v>71</v>
      </c>
      <c r="D889" t="s">
        <v>289</v>
      </c>
      <c r="E889" t="s">
        <v>73</v>
      </c>
      <c r="F889" t="s">
        <v>74</v>
      </c>
      <c r="G889">
        <v>242708</v>
      </c>
      <c r="H889" t="s">
        <v>74</v>
      </c>
      <c r="I889" t="s">
        <v>75</v>
      </c>
      <c r="J889" t="s">
        <v>74</v>
      </c>
      <c r="K889" t="s">
        <v>3660</v>
      </c>
      <c r="L889" t="s">
        <v>77</v>
      </c>
      <c r="M889" t="s">
        <v>78</v>
      </c>
      <c r="N889" t="s">
        <v>558</v>
      </c>
      <c r="O889" t="s">
        <v>1005</v>
      </c>
      <c r="P889" t="s">
        <v>231</v>
      </c>
      <c r="T889">
        <v>1</v>
      </c>
      <c r="AF889" t="s">
        <v>823</v>
      </c>
      <c r="AG889" t="s">
        <v>296</v>
      </c>
      <c r="AH889" t="s">
        <v>823</v>
      </c>
      <c r="AJ889">
        <v>0</v>
      </c>
      <c r="AK889">
        <v>0</v>
      </c>
      <c r="AL889">
        <v>0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36.46</v>
      </c>
      <c r="AT889">
        <v>0</v>
      </c>
      <c r="AU889">
        <v>0</v>
      </c>
      <c r="AV889">
        <v>0</v>
      </c>
      <c r="AW889">
        <v>0</v>
      </c>
      <c r="AX889">
        <v>0</v>
      </c>
      <c r="AY889">
        <v>0</v>
      </c>
      <c r="AZ889">
        <v>0</v>
      </c>
      <c r="BA889">
        <v>0</v>
      </c>
      <c r="BB889">
        <v>0</v>
      </c>
      <c r="BC889">
        <v>0</v>
      </c>
      <c r="BD889">
        <v>2293.8200000000002</v>
      </c>
      <c r="BE889">
        <v>0</v>
      </c>
      <c r="BF889">
        <v>458.08</v>
      </c>
      <c r="BG889">
        <v>0</v>
      </c>
      <c r="BH889">
        <v>0</v>
      </c>
      <c r="BI889">
        <v>421.62</v>
      </c>
      <c r="BJ889">
        <v>0</v>
      </c>
      <c r="BK889">
        <v>0</v>
      </c>
      <c r="BL889">
        <v>0</v>
      </c>
      <c r="BM889">
        <v>0</v>
      </c>
      <c r="BN889">
        <v>3209.98</v>
      </c>
      <c r="BO889">
        <v>513.59</v>
      </c>
      <c r="BP889">
        <v>128.38999999999999</v>
      </c>
      <c r="BQ889">
        <f t="shared" si="13"/>
        <v>3595.1800000000003</v>
      </c>
      <c r="BR889" t="s">
        <v>560</v>
      </c>
    </row>
    <row r="890" spans="1:70">
      <c r="A890" t="s">
        <v>3661</v>
      </c>
      <c r="B890" t="s">
        <v>3662</v>
      </c>
      <c r="C890" t="s">
        <v>71</v>
      </c>
      <c r="D890" t="s">
        <v>289</v>
      </c>
      <c r="E890" t="s">
        <v>73</v>
      </c>
      <c r="F890" t="s">
        <v>74</v>
      </c>
      <c r="G890">
        <v>242707</v>
      </c>
      <c r="H890" t="s">
        <v>74</v>
      </c>
      <c r="I890" t="s">
        <v>75</v>
      </c>
      <c r="J890" t="s">
        <v>74</v>
      </c>
      <c r="K890" t="s">
        <v>3663</v>
      </c>
      <c r="L890" t="s">
        <v>77</v>
      </c>
      <c r="M890" t="s">
        <v>78</v>
      </c>
      <c r="N890" t="s">
        <v>421</v>
      </c>
      <c r="O890" t="s">
        <v>486</v>
      </c>
      <c r="P890" t="s">
        <v>231</v>
      </c>
      <c r="X890">
        <v>10</v>
      </c>
      <c r="AF890" t="s">
        <v>372</v>
      </c>
      <c r="AG890" t="s">
        <v>296</v>
      </c>
      <c r="AH890" t="s">
        <v>372</v>
      </c>
      <c r="AJ890">
        <v>0</v>
      </c>
      <c r="AK890">
        <v>0</v>
      </c>
      <c r="AL890">
        <v>0</v>
      </c>
      <c r="AM890">
        <v>0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1.5</v>
      </c>
      <c r="AT890">
        <v>0</v>
      </c>
      <c r="AU890">
        <v>0</v>
      </c>
      <c r="AV890">
        <v>0</v>
      </c>
      <c r="AW890">
        <v>0</v>
      </c>
      <c r="AX890">
        <v>0</v>
      </c>
      <c r="AY890">
        <v>0</v>
      </c>
      <c r="AZ890">
        <v>0</v>
      </c>
      <c r="BA890">
        <v>0</v>
      </c>
      <c r="BB890">
        <v>0</v>
      </c>
      <c r="BC890">
        <v>0</v>
      </c>
      <c r="BD890">
        <v>461.9</v>
      </c>
      <c r="BE890">
        <v>0</v>
      </c>
      <c r="BF890">
        <v>400</v>
      </c>
      <c r="BG890">
        <v>0</v>
      </c>
      <c r="BH890">
        <v>0</v>
      </c>
      <c r="BI890">
        <v>80</v>
      </c>
      <c r="BJ890">
        <v>0</v>
      </c>
      <c r="BK890">
        <v>0</v>
      </c>
      <c r="BL890">
        <v>0</v>
      </c>
      <c r="BM890">
        <v>0</v>
      </c>
      <c r="BN890">
        <v>943.4</v>
      </c>
      <c r="BO890">
        <v>150.94</v>
      </c>
      <c r="BP890">
        <v>37.74</v>
      </c>
      <c r="BQ890">
        <f t="shared" si="13"/>
        <v>1056.5999999999999</v>
      </c>
      <c r="BR890" t="s">
        <v>423</v>
      </c>
    </row>
    <row r="891" spans="1:70">
      <c r="A891" t="s">
        <v>3664</v>
      </c>
      <c r="B891" t="s">
        <v>3665</v>
      </c>
      <c r="C891" t="s">
        <v>71</v>
      </c>
      <c r="D891" t="s">
        <v>289</v>
      </c>
      <c r="E891" t="s">
        <v>73</v>
      </c>
      <c r="F891" t="s">
        <v>74</v>
      </c>
      <c r="G891">
        <v>242705</v>
      </c>
      <c r="H891" t="s">
        <v>74</v>
      </c>
      <c r="I891" t="s">
        <v>75</v>
      </c>
      <c r="J891" t="s">
        <v>74</v>
      </c>
      <c r="K891" t="s">
        <v>3666</v>
      </c>
      <c r="L891" t="s">
        <v>77</v>
      </c>
      <c r="M891" t="s">
        <v>78</v>
      </c>
      <c r="N891" t="s">
        <v>83</v>
      </c>
      <c r="O891" t="s">
        <v>266</v>
      </c>
      <c r="P891" t="s">
        <v>231</v>
      </c>
      <c r="X891">
        <v>13</v>
      </c>
      <c r="AF891" t="s">
        <v>434</v>
      </c>
      <c r="AG891" t="s">
        <v>296</v>
      </c>
      <c r="AH891" t="s">
        <v>434</v>
      </c>
      <c r="AJ891">
        <v>0</v>
      </c>
      <c r="AK891">
        <v>0</v>
      </c>
      <c r="AL891">
        <v>0</v>
      </c>
      <c r="AM891">
        <v>0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1.95</v>
      </c>
      <c r="AT891">
        <v>0</v>
      </c>
      <c r="AU891">
        <v>0</v>
      </c>
      <c r="AV891">
        <v>0</v>
      </c>
      <c r="AW891">
        <v>0</v>
      </c>
      <c r="AX891">
        <v>0</v>
      </c>
      <c r="AY891">
        <v>0</v>
      </c>
      <c r="AZ891">
        <v>0</v>
      </c>
      <c r="BA891">
        <v>0</v>
      </c>
      <c r="BB891">
        <v>0</v>
      </c>
      <c r="BC891">
        <v>0</v>
      </c>
      <c r="BD891">
        <v>200.85</v>
      </c>
      <c r="BE891">
        <v>0</v>
      </c>
      <c r="BF891">
        <v>520</v>
      </c>
      <c r="BG891">
        <v>0</v>
      </c>
      <c r="BH891">
        <v>0</v>
      </c>
      <c r="BI891">
        <v>104</v>
      </c>
      <c r="BJ891">
        <v>0</v>
      </c>
      <c r="BK891">
        <v>0</v>
      </c>
      <c r="BL891">
        <v>0</v>
      </c>
      <c r="BM891">
        <v>0</v>
      </c>
      <c r="BN891">
        <v>826.8</v>
      </c>
      <c r="BO891">
        <v>132.29</v>
      </c>
      <c r="BP891">
        <v>33.07</v>
      </c>
      <c r="BQ891">
        <f t="shared" si="13"/>
        <v>926.01999999999987</v>
      </c>
      <c r="BR891" t="s">
        <v>83</v>
      </c>
    </row>
    <row r="892" spans="1:70">
      <c r="A892" t="s">
        <v>3667</v>
      </c>
      <c r="B892" t="s">
        <v>3668</v>
      </c>
      <c r="C892" t="s">
        <v>71</v>
      </c>
      <c r="D892" t="s">
        <v>289</v>
      </c>
      <c r="E892" t="s">
        <v>73</v>
      </c>
      <c r="F892" t="s">
        <v>74</v>
      </c>
      <c r="G892">
        <v>242698</v>
      </c>
      <c r="H892" t="s">
        <v>74</v>
      </c>
      <c r="I892" t="s">
        <v>75</v>
      </c>
      <c r="J892" t="s">
        <v>74</v>
      </c>
      <c r="K892" t="s">
        <v>3669</v>
      </c>
      <c r="L892" t="s">
        <v>77</v>
      </c>
      <c r="M892" t="s">
        <v>78</v>
      </c>
      <c r="N892" t="s">
        <v>191</v>
      </c>
      <c r="O892" t="s">
        <v>2525</v>
      </c>
      <c r="P892" t="s">
        <v>231</v>
      </c>
      <c r="X892">
        <v>13</v>
      </c>
      <c r="AF892" t="s">
        <v>434</v>
      </c>
      <c r="AG892" t="s">
        <v>296</v>
      </c>
      <c r="AH892" t="s">
        <v>434</v>
      </c>
      <c r="AJ892">
        <v>0</v>
      </c>
      <c r="AK892">
        <v>0</v>
      </c>
      <c r="AL892">
        <v>0</v>
      </c>
      <c r="AM892">
        <v>0</v>
      </c>
      <c r="AN892">
        <v>0</v>
      </c>
      <c r="AO892">
        <v>0</v>
      </c>
      <c r="AP892">
        <v>0</v>
      </c>
      <c r="AQ892">
        <v>0</v>
      </c>
      <c r="AR892">
        <v>0</v>
      </c>
      <c r="AS892">
        <v>1.95</v>
      </c>
      <c r="AT892">
        <v>0</v>
      </c>
      <c r="AU892">
        <v>0</v>
      </c>
      <c r="AV892">
        <v>0</v>
      </c>
      <c r="AW892">
        <v>0</v>
      </c>
      <c r="AX892">
        <v>0</v>
      </c>
      <c r="AY892">
        <v>0</v>
      </c>
      <c r="AZ892">
        <v>0</v>
      </c>
      <c r="BA892">
        <v>0</v>
      </c>
      <c r="BB892">
        <v>0</v>
      </c>
      <c r="BC892">
        <v>0</v>
      </c>
      <c r="BD892">
        <v>600.47</v>
      </c>
      <c r="BE892">
        <v>0</v>
      </c>
      <c r="BF892">
        <v>520</v>
      </c>
      <c r="BG892">
        <v>0</v>
      </c>
      <c r="BH892">
        <v>0</v>
      </c>
      <c r="BI892">
        <v>104</v>
      </c>
      <c r="BJ892">
        <v>0</v>
      </c>
      <c r="BK892">
        <v>0</v>
      </c>
      <c r="BL892">
        <v>0</v>
      </c>
      <c r="BM892">
        <v>0</v>
      </c>
      <c r="BN892">
        <v>1226.42</v>
      </c>
      <c r="BO892">
        <v>196.23</v>
      </c>
      <c r="BP892">
        <v>49.06</v>
      </c>
      <c r="BQ892">
        <f t="shared" si="13"/>
        <v>1373.5900000000001</v>
      </c>
      <c r="BR892" t="s">
        <v>195</v>
      </c>
    </row>
    <row r="893" spans="1:70">
      <c r="A893" t="s">
        <v>3670</v>
      </c>
      <c r="B893" t="s">
        <v>3671</v>
      </c>
      <c r="C893" t="s">
        <v>71</v>
      </c>
      <c r="D893" t="s">
        <v>289</v>
      </c>
      <c r="E893" t="s">
        <v>73</v>
      </c>
      <c r="F893" t="s">
        <v>74</v>
      </c>
      <c r="G893">
        <v>242686</v>
      </c>
      <c r="H893" t="s">
        <v>74</v>
      </c>
      <c r="I893" t="s">
        <v>75</v>
      </c>
      <c r="J893" t="s">
        <v>74</v>
      </c>
      <c r="K893" t="s">
        <v>3672</v>
      </c>
      <c r="L893" t="s">
        <v>77</v>
      </c>
      <c r="M893" t="s">
        <v>78</v>
      </c>
      <c r="N893" t="s">
        <v>191</v>
      </c>
      <c r="O893" t="s">
        <v>1080</v>
      </c>
      <c r="P893" t="s">
        <v>231</v>
      </c>
      <c r="X893">
        <v>15</v>
      </c>
      <c r="AF893" t="s">
        <v>235</v>
      </c>
      <c r="AG893" t="s">
        <v>296</v>
      </c>
      <c r="AH893" t="s">
        <v>235</v>
      </c>
      <c r="AJ893">
        <v>0</v>
      </c>
      <c r="AK893">
        <v>0</v>
      </c>
      <c r="AL893">
        <v>0</v>
      </c>
      <c r="AM893">
        <v>0</v>
      </c>
      <c r="AN893">
        <v>0</v>
      </c>
      <c r="AO893">
        <v>0</v>
      </c>
      <c r="AP893">
        <v>0</v>
      </c>
      <c r="AQ893">
        <v>0</v>
      </c>
      <c r="AR893">
        <v>0</v>
      </c>
      <c r="AS893">
        <v>2.25</v>
      </c>
      <c r="AT893">
        <v>0</v>
      </c>
      <c r="AU893">
        <v>0</v>
      </c>
      <c r="AV893">
        <v>0</v>
      </c>
      <c r="AW893">
        <v>0</v>
      </c>
      <c r="AX893">
        <v>0</v>
      </c>
      <c r="AY893">
        <v>0</v>
      </c>
      <c r="AZ893">
        <v>0</v>
      </c>
      <c r="BA893">
        <v>0</v>
      </c>
      <c r="BB893">
        <v>0</v>
      </c>
      <c r="BC893">
        <v>0</v>
      </c>
      <c r="BD893">
        <v>692.85</v>
      </c>
      <c r="BE893">
        <v>0</v>
      </c>
      <c r="BF893">
        <v>600</v>
      </c>
      <c r="BG893">
        <v>0</v>
      </c>
      <c r="BH893">
        <v>0</v>
      </c>
      <c r="BI893">
        <v>120</v>
      </c>
      <c r="BJ893">
        <v>0</v>
      </c>
      <c r="BK893">
        <v>0</v>
      </c>
      <c r="BL893">
        <v>0</v>
      </c>
      <c r="BM893">
        <v>0</v>
      </c>
      <c r="BN893">
        <v>1415.1</v>
      </c>
      <c r="BO893">
        <v>226.42</v>
      </c>
      <c r="BP893">
        <v>56.6</v>
      </c>
      <c r="BQ893">
        <f t="shared" si="13"/>
        <v>1584.92</v>
      </c>
      <c r="BR893" t="s">
        <v>195</v>
      </c>
    </row>
    <row r="894" spans="1:70">
      <c r="A894" t="s">
        <v>3673</v>
      </c>
      <c r="B894" t="s">
        <v>3674</v>
      </c>
      <c r="C894" t="s">
        <v>71</v>
      </c>
      <c r="D894" t="s">
        <v>289</v>
      </c>
      <c r="E894" t="s">
        <v>73</v>
      </c>
      <c r="F894" t="s">
        <v>74</v>
      </c>
      <c r="G894">
        <v>242683</v>
      </c>
      <c r="H894" t="s">
        <v>74</v>
      </c>
      <c r="I894" t="s">
        <v>75</v>
      </c>
      <c r="J894" t="s">
        <v>74</v>
      </c>
      <c r="K894" t="s">
        <v>3675</v>
      </c>
      <c r="L894" t="s">
        <v>77</v>
      </c>
      <c r="M894" t="s">
        <v>78</v>
      </c>
      <c r="N894" t="s">
        <v>1318</v>
      </c>
      <c r="O894" t="s">
        <v>1319</v>
      </c>
      <c r="P894" t="s">
        <v>231</v>
      </c>
      <c r="X894">
        <v>14</v>
      </c>
      <c r="AF894" t="s">
        <v>413</v>
      </c>
      <c r="AG894" t="s">
        <v>296</v>
      </c>
      <c r="AH894" t="s">
        <v>413</v>
      </c>
      <c r="AJ894">
        <v>0</v>
      </c>
      <c r="AK894">
        <v>0</v>
      </c>
      <c r="AL894">
        <v>0</v>
      </c>
      <c r="AM894">
        <v>0</v>
      </c>
      <c r="AN894">
        <v>0</v>
      </c>
      <c r="AO894">
        <v>0</v>
      </c>
      <c r="AP894">
        <v>0</v>
      </c>
      <c r="AQ894">
        <v>0</v>
      </c>
      <c r="AR894">
        <v>0</v>
      </c>
      <c r="AS894">
        <v>2.1</v>
      </c>
      <c r="AT894">
        <v>0</v>
      </c>
      <c r="AU894">
        <v>0</v>
      </c>
      <c r="AV894">
        <v>0</v>
      </c>
      <c r="AW894">
        <v>0</v>
      </c>
      <c r="AX894">
        <v>0</v>
      </c>
      <c r="AY894">
        <v>0</v>
      </c>
      <c r="AZ894">
        <v>0</v>
      </c>
      <c r="BA894">
        <v>0</v>
      </c>
      <c r="BB894">
        <v>0</v>
      </c>
      <c r="BC894">
        <v>0</v>
      </c>
      <c r="BD894">
        <v>216.3</v>
      </c>
      <c r="BE894">
        <v>0</v>
      </c>
      <c r="BF894">
        <v>560</v>
      </c>
      <c r="BG894">
        <v>0</v>
      </c>
      <c r="BH894">
        <v>0</v>
      </c>
      <c r="BI894">
        <v>112</v>
      </c>
      <c r="BJ894">
        <v>0</v>
      </c>
      <c r="BK894">
        <v>0</v>
      </c>
      <c r="BL894">
        <v>0</v>
      </c>
      <c r="BM894">
        <v>0</v>
      </c>
      <c r="BN894">
        <v>890.4</v>
      </c>
      <c r="BO894">
        <v>142.47</v>
      </c>
      <c r="BP894">
        <v>35.61</v>
      </c>
      <c r="BQ894">
        <f t="shared" si="13"/>
        <v>997.25999999999988</v>
      </c>
      <c r="BR894" t="s">
        <v>1318</v>
      </c>
    </row>
    <row r="895" spans="1:70">
      <c r="A895" t="s">
        <v>3676</v>
      </c>
      <c r="B895" t="s">
        <v>3677</v>
      </c>
      <c r="C895" t="s">
        <v>71</v>
      </c>
      <c r="D895" t="s">
        <v>289</v>
      </c>
      <c r="E895" t="s">
        <v>73</v>
      </c>
      <c r="F895" t="s">
        <v>74</v>
      </c>
      <c r="G895">
        <v>242678</v>
      </c>
      <c r="H895" t="s">
        <v>74</v>
      </c>
      <c r="I895" t="s">
        <v>75</v>
      </c>
      <c r="J895" t="s">
        <v>74</v>
      </c>
      <c r="K895" t="s">
        <v>3678</v>
      </c>
      <c r="L895" t="s">
        <v>77</v>
      </c>
      <c r="M895" t="s">
        <v>78</v>
      </c>
      <c r="N895" t="s">
        <v>343</v>
      </c>
      <c r="O895" t="s">
        <v>427</v>
      </c>
      <c r="P895" t="s">
        <v>231</v>
      </c>
      <c r="V895">
        <v>1</v>
      </c>
      <c r="AF895" t="s">
        <v>295</v>
      </c>
      <c r="AG895" t="s">
        <v>296</v>
      </c>
      <c r="AH895" t="s">
        <v>295</v>
      </c>
      <c r="AJ895">
        <v>0</v>
      </c>
      <c r="AK895">
        <v>0</v>
      </c>
      <c r="AL895">
        <v>0</v>
      </c>
      <c r="AM895">
        <v>0</v>
      </c>
      <c r="AN895">
        <v>0</v>
      </c>
      <c r="AO895">
        <v>0</v>
      </c>
      <c r="AP895">
        <v>0</v>
      </c>
      <c r="AQ895">
        <v>0</v>
      </c>
      <c r="AR895">
        <v>0</v>
      </c>
      <c r="AS895">
        <v>0.15</v>
      </c>
      <c r="AT895">
        <v>0</v>
      </c>
      <c r="AU895">
        <v>0</v>
      </c>
      <c r="AV895">
        <v>0</v>
      </c>
      <c r="AW895">
        <v>0</v>
      </c>
      <c r="AX895">
        <v>0</v>
      </c>
      <c r="AY895">
        <v>0</v>
      </c>
      <c r="AZ895">
        <v>0</v>
      </c>
      <c r="BA895">
        <v>0</v>
      </c>
      <c r="BB895">
        <v>0</v>
      </c>
      <c r="BC895">
        <v>0</v>
      </c>
      <c r="BD895">
        <v>375.85</v>
      </c>
      <c r="BE895">
        <v>0</v>
      </c>
      <c r="BF895">
        <v>40</v>
      </c>
      <c r="BG895">
        <v>0</v>
      </c>
      <c r="BH895">
        <v>0</v>
      </c>
      <c r="BI895">
        <v>8</v>
      </c>
      <c r="BJ895">
        <v>0</v>
      </c>
      <c r="BK895">
        <v>0</v>
      </c>
      <c r="BL895">
        <v>0</v>
      </c>
      <c r="BM895">
        <v>0</v>
      </c>
      <c r="BN895">
        <v>424</v>
      </c>
      <c r="BO895">
        <v>67.84</v>
      </c>
      <c r="BP895">
        <v>16.96</v>
      </c>
      <c r="BQ895">
        <f t="shared" si="13"/>
        <v>474.88000000000005</v>
      </c>
      <c r="BR895" t="s">
        <v>343</v>
      </c>
    </row>
    <row r="896" spans="1:70">
      <c r="A896" t="s">
        <v>3679</v>
      </c>
      <c r="B896" t="s">
        <v>3680</v>
      </c>
      <c r="C896" t="s">
        <v>71</v>
      </c>
      <c r="D896" t="s">
        <v>289</v>
      </c>
      <c r="E896" t="s">
        <v>73</v>
      </c>
      <c r="F896" t="s">
        <v>74</v>
      </c>
      <c r="G896">
        <v>242677</v>
      </c>
      <c r="H896" t="s">
        <v>74</v>
      </c>
      <c r="I896" t="s">
        <v>75</v>
      </c>
      <c r="J896" t="s">
        <v>74</v>
      </c>
      <c r="K896" t="s">
        <v>3681</v>
      </c>
      <c r="L896" t="s">
        <v>77</v>
      </c>
      <c r="M896" t="s">
        <v>78</v>
      </c>
      <c r="N896" t="s">
        <v>438</v>
      </c>
      <c r="O896" t="s">
        <v>1470</v>
      </c>
      <c r="P896" t="s">
        <v>231</v>
      </c>
      <c r="V896">
        <v>1</v>
      </c>
      <c r="AF896" t="s">
        <v>295</v>
      </c>
      <c r="AG896" t="s">
        <v>296</v>
      </c>
      <c r="AH896" t="s">
        <v>295</v>
      </c>
      <c r="AJ896">
        <v>0</v>
      </c>
      <c r="AK896">
        <v>0</v>
      </c>
      <c r="AL896">
        <v>0</v>
      </c>
      <c r="AM896">
        <v>0</v>
      </c>
      <c r="AN896">
        <v>0</v>
      </c>
      <c r="AO896">
        <v>0</v>
      </c>
      <c r="AP896">
        <v>0</v>
      </c>
      <c r="AQ896">
        <v>0</v>
      </c>
      <c r="AR896">
        <v>0</v>
      </c>
      <c r="AS896">
        <v>0.15</v>
      </c>
      <c r="AT896">
        <v>0</v>
      </c>
      <c r="AU896">
        <v>0</v>
      </c>
      <c r="AV896">
        <v>0</v>
      </c>
      <c r="AW896">
        <v>0</v>
      </c>
      <c r="AX896">
        <v>0</v>
      </c>
      <c r="AY896">
        <v>0</v>
      </c>
      <c r="AZ896">
        <v>0</v>
      </c>
      <c r="BA896">
        <v>0</v>
      </c>
      <c r="BB896">
        <v>0</v>
      </c>
      <c r="BC896">
        <v>0</v>
      </c>
      <c r="BD896">
        <v>375.85</v>
      </c>
      <c r="BE896">
        <v>0</v>
      </c>
      <c r="BF896">
        <v>40</v>
      </c>
      <c r="BG896">
        <v>0</v>
      </c>
      <c r="BH896">
        <v>0</v>
      </c>
      <c r="BI896">
        <v>8</v>
      </c>
      <c r="BJ896">
        <v>0</v>
      </c>
      <c r="BK896">
        <v>0</v>
      </c>
      <c r="BL896">
        <v>0</v>
      </c>
      <c r="BM896">
        <v>0</v>
      </c>
      <c r="BN896">
        <v>424</v>
      </c>
      <c r="BO896">
        <v>67.84</v>
      </c>
      <c r="BP896">
        <v>16.96</v>
      </c>
      <c r="BQ896">
        <f t="shared" si="13"/>
        <v>474.88000000000005</v>
      </c>
      <c r="BR896" t="s">
        <v>440</v>
      </c>
    </row>
    <row r="897" spans="1:70">
      <c r="A897" t="s">
        <v>3682</v>
      </c>
      <c r="B897" t="s">
        <v>3683</v>
      </c>
      <c r="C897" t="s">
        <v>71</v>
      </c>
      <c r="D897" t="s">
        <v>289</v>
      </c>
      <c r="E897" t="s">
        <v>73</v>
      </c>
      <c r="F897" t="s">
        <v>74</v>
      </c>
      <c r="G897">
        <v>242674</v>
      </c>
      <c r="H897" t="s">
        <v>74</v>
      </c>
      <c r="I897" t="s">
        <v>75</v>
      </c>
      <c r="K897" t="s">
        <v>3684</v>
      </c>
      <c r="L897" t="s">
        <v>77</v>
      </c>
      <c r="M897" t="s">
        <v>78</v>
      </c>
      <c r="N897" t="s">
        <v>941</v>
      </c>
      <c r="O897" t="s">
        <v>942</v>
      </c>
      <c r="P897" t="s">
        <v>231</v>
      </c>
      <c r="V897">
        <v>1</v>
      </c>
      <c r="AF897" t="s">
        <v>295</v>
      </c>
      <c r="AG897" t="s">
        <v>296</v>
      </c>
      <c r="AH897" t="s">
        <v>295</v>
      </c>
      <c r="AJ897">
        <v>0</v>
      </c>
      <c r="AK897">
        <v>0</v>
      </c>
      <c r="AL897">
        <v>0</v>
      </c>
      <c r="AM897">
        <v>0</v>
      </c>
      <c r="AN897">
        <v>0</v>
      </c>
      <c r="AO897">
        <v>0</v>
      </c>
      <c r="AP897">
        <v>0</v>
      </c>
      <c r="AQ897">
        <v>0</v>
      </c>
      <c r="AR897">
        <v>0</v>
      </c>
      <c r="AS897">
        <v>0.15</v>
      </c>
      <c r="AT897">
        <v>0</v>
      </c>
      <c r="AU897">
        <v>0</v>
      </c>
      <c r="AV897">
        <v>0</v>
      </c>
      <c r="AW897">
        <v>0</v>
      </c>
      <c r="AX897">
        <v>0</v>
      </c>
      <c r="AY897">
        <v>0</v>
      </c>
      <c r="AZ897">
        <v>0</v>
      </c>
      <c r="BA897">
        <v>0</v>
      </c>
      <c r="BB897">
        <v>0</v>
      </c>
      <c r="BC897">
        <v>0</v>
      </c>
      <c r="BD897">
        <v>375.85</v>
      </c>
      <c r="BE897">
        <v>0</v>
      </c>
      <c r="BF897">
        <v>40</v>
      </c>
      <c r="BG897">
        <v>0</v>
      </c>
      <c r="BH897">
        <v>0</v>
      </c>
      <c r="BI897">
        <v>8</v>
      </c>
      <c r="BJ897">
        <v>0</v>
      </c>
      <c r="BK897">
        <v>0</v>
      </c>
      <c r="BL897">
        <v>0</v>
      </c>
      <c r="BM897">
        <v>0</v>
      </c>
      <c r="BN897">
        <v>424</v>
      </c>
      <c r="BO897">
        <v>67.84</v>
      </c>
      <c r="BP897">
        <v>16.96</v>
      </c>
      <c r="BQ897">
        <f t="shared" si="13"/>
        <v>474.88000000000005</v>
      </c>
      <c r="BR897" t="s">
        <v>83</v>
      </c>
    </row>
    <row r="898" spans="1:70">
      <c r="A898" t="s">
        <v>3685</v>
      </c>
      <c r="B898" t="s">
        <v>3686</v>
      </c>
      <c r="C898" t="s">
        <v>71</v>
      </c>
      <c r="D898" t="s">
        <v>289</v>
      </c>
      <c r="E898" t="s">
        <v>73</v>
      </c>
      <c r="F898" t="s">
        <v>74</v>
      </c>
      <c r="G898">
        <v>242669</v>
      </c>
      <c r="H898" t="s">
        <v>74</v>
      </c>
      <c r="I898" t="s">
        <v>75</v>
      </c>
      <c r="J898" t="s">
        <v>74</v>
      </c>
      <c r="K898" t="s">
        <v>3687</v>
      </c>
      <c r="L898" t="s">
        <v>77</v>
      </c>
      <c r="M898" t="s">
        <v>78</v>
      </c>
      <c r="N898" t="s">
        <v>438</v>
      </c>
      <c r="O898" t="s">
        <v>1470</v>
      </c>
      <c r="P898" t="s">
        <v>231</v>
      </c>
      <c r="V898">
        <v>1</v>
      </c>
      <c r="AF898" t="s">
        <v>295</v>
      </c>
      <c r="AG898" t="s">
        <v>296</v>
      </c>
      <c r="AH898" t="s">
        <v>295</v>
      </c>
      <c r="AJ898">
        <v>0</v>
      </c>
      <c r="AK898">
        <v>0</v>
      </c>
      <c r="AL898">
        <v>0</v>
      </c>
      <c r="AM898">
        <v>0</v>
      </c>
      <c r="AN898">
        <v>0</v>
      </c>
      <c r="AO898">
        <v>0</v>
      </c>
      <c r="AP898">
        <v>0</v>
      </c>
      <c r="AQ898">
        <v>0</v>
      </c>
      <c r="AR898">
        <v>0</v>
      </c>
      <c r="AS898">
        <v>0.15</v>
      </c>
      <c r="AT898">
        <v>0</v>
      </c>
      <c r="AU898">
        <v>0</v>
      </c>
      <c r="AV898">
        <v>0</v>
      </c>
      <c r="AW898">
        <v>0</v>
      </c>
      <c r="AX898">
        <v>0</v>
      </c>
      <c r="AY898">
        <v>0</v>
      </c>
      <c r="AZ898">
        <v>0</v>
      </c>
      <c r="BA898">
        <v>0</v>
      </c>
      <c r="BB898">
        <v>0</v>
      </c>
      <c r="BC898">
        <v>0</v>
      </c>
      <c r="BD898">
        <v>375.85</v>
      </c>
      <c r="BE898">
        <v>0</v>
      </c>
      <c r="BF898">
        <v>40</v>
      </c>
      <c r="BG898">
        <v>0</v>
      </c>
      <c r="BH898">
        <v>0</v>
      </c>
      <c r="BI898">
        <v>8</v>
      </c>
      <c r="BJ898">
        <v>0</v>
      </c>
      <c r="BK898">
        <v>0</v>
      </c>
      <c r="BL898">
        <v>0</v>
      </c>
      <c r="BM898">
        <v>0</v>
      </c>
      <c r="BN898">
        <v>424</v>
      </c>
      <c r="BO898">
        <v>67.84</v>
      </c>
      <c r="BP898">
        <v>16.96</v>
      </c>
      <c r="BQ898">
        <f t="shared" ref="BQ898:BQ961" si="14">(BN898+BO898-BP898)</f>
        <v>474.88000000000005</v>
      </c>
      <c r="BR898" t="s">
        <v>440</v>
      </c>
    </row>
    <row r="899" spans="1:70">
      <c r="A899" t="s">
        <v>3688</v>
      </c>
      <c r="B899" t="s">
        <v>3689</v>
      </c>
      <c r="C899" t="s">
        <v>71</v>
      </c>
      <c r="D899" t="s">
        <v>289</v>
      </c>
      <c r="E899" t="s">
        <v>73</v>
      </c>
      <c r="F899" t="s">
        <v>74</v>
      </c>
      <c r="G899">
        <v>242665</v>
      </c>
      <c r="H899" t="s">
        <v>74</v>
      </c>
      <c r="I899" t="s">
        <v>75</v>
      </c>
      <c r="J899" t="s">
        <v>74</v>
      </c>
      <c r="K899" t="s">
        <v>3690</v>
      </c>
      <c r="L899" t="s">
        <v>77</v>
      </c>
      <c r="M899" t="s">
        <v>78</v>
      </c>
      <c r="N899" t="s">
        <v>1730</v>
      </c>
      <c r="O899" t="s">
        <v>3691</v>
      </c>
      <c r="P899" t="s">
        <v>231</v>
      </c>
      <c r="Z899">
        <v>2</v>
      </c>
      <c r="AF899" t="s">
        <v>339</v>
      </c>
      <c r="AG899" t="s">
        <v>296</v>
      </c>
      <c r="AH899" t="s">
        <v>339</v>
      </c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0.3</v>
      </c>
      <c r="AT899">
        <v>0</v>
      </c>
      <c r="AU899">
        <v>0</v>
      </c>
      <c r="AV899">
        <v>0</v>
      </c>
      <c r="AW899">
        <v>0</v>
      </c>
      <c r="AX899">
        <v>0</v>
      </c>
      <c r="AY899">
        <v>0</v>
      </c>
      <c r="AZ899">
        <v>0</v>
      </c>
      <c r="BA899">
        <v>0</v>
      </c>
      <c r="BB899">
        <v>0</v>
      </c>
      <c r="BC899">
        <v>0</v>
      </c>
      <c r="BD899">
        <v>375.4</v>
      </c>
      <c r="BE899">
        <v>0</v>
      </c>
      <c r="BF899">
        <v>80</v>
      </c>
      <c r="BG899">
        <v>0</v>
      </c>
      <c r="BH899">
        <v>0</v>
      </c>
      <c r="BI899">
        <v>16</v>
      </c>
      <c r="BJ899">
        <v>0</v>
      </c>
      <c r="BK899">
        <v>0</v>
      </c>
      <c r="BL899">
        <v>0</v>
      </c>
      <c r="BM899">
        <v>0</v>
      </c>
      <c r="BN899">
        <v>471.7</v>
      </c>
      <c r="BO899">
        <v>75.47</v>
      </c>
      <c r="BP899">
        <v>18.87</v>
      </c>
      <c r="BQ899">
        <f t="shared" si="14"/>
        <v>528.29999999999995</v>
      </c>
      <c r="BR899" t="s">
        <v>1732</v>
      </c>
    </row>
    <row r="900" spans="1:70">
      <c r="A900" t="s">
        <v>3692</v>
      </c>
      <c r="B900" t="s">
        <v>3693</v>
      </c>
      <c r="C900" t="s">
        <v>71</v>
      </c>
      <c r="D900" t="s">
        <v>289</v>
      </c>
      <c r="E900" t="s">
        <v>73</v>
      </c>
      <c r="F900" t="s">
        <v>74</v>
      </c>
      <c r="G900">
        <v>242664</v>
      </c>
      <c r="H900" t="s">
        <v>74</v>
      </c>
      <c r="I900" t="s">
        <v>75</v>
      </c>
      <c r="J900" t="s">
        <v>74</v>
      </c>
      <c r="K900" t="s">
        <v>3694</v>
      </c>
      <c r="L900" t="s">
        <v>77</v>
      </c>
      <c r="M900" t="s">
        <v>78</v>
      </c>
      <c r="N900" t="s">
        <v>438</v>
      </c>
      <c r="O900" t="s">
        <v>753</v>
      </c>
      <c r="P900" t="s">
        <v>231</v>
      </c>
      <c r="V900">
        <v>1</v>
      </c>
      <c r="AF900" t="s">
        <v>295</v>
      </c>
      <c r="AG900" t="s">
        <v>296</v>
      </c>
      <c r="AH900" t="s">
        <v>295</v>
      </c>
      <c r="AJ900">
        <v>0</v>
      </c>
      <c r="AK900">
        <v>0</v>
      </c>
      <c r="AL900">
        <v>0</v>
      </c>
      <c r="AM900">
        <v>0</v>
      </c>
      <c r="AN900">
        <v>0</v>
      </c>
      <c r="AO900">
        <v>0</v>
      </c>
      <c r="AP900">
        <v>0</v>
      </c>
      <c r="AQ900">
        <v>0</v>
      </c>
      <c r="AR900">
        <v>0</v>
      </c>
      <c r="AS900">
        <v>0.15</v>
      </c>
      <c r="AT900">
        <v>0</v>
      </c>
      <c r="AU900">
        <v>0</v>
      </c>
      <c r="AV900">
        <v>0</v>
      </c>
      <c r="AW900">
        <v>0</v>
      </c>
      <c r="AX900">
        <v>0</v>
      </c>
      <c r="AY900">
        <v>0</v>
      </c>
      <c r="AZ900">
        <v>0</v>
      </c>
      <c r="BA900">
        <v>0</v>
      </c>
      <c r="BB900">
        <v>0</v>
      </c>
      <c r="BC900">
        <v>0</v>
      </c>
      <c r="BD900">
        <v>375.85</v>
      </c>
      <c r="BE900">
        <v>0</v>
      </c>
      <c r="BF900">
        <v>40</v>
      </c>
      <c r="BG900">
        <v>0</v>
      </c>
      <c r="BH900">
        <v>0</v>
      </c>
      <c r="BI900">
        <v>8</v>
      </c>
      <c r="BJ900">
        <v>0</v>
      </c>
      <c r="BK900">
        <v>0</v>
      </c>
      <c r="BL900">
        <v>0</v>
      </c>
      <c r="BM900">
        <v>0</v>
      </c>
      <c r="BN900">
        <v>424</v>
      </c>
      <c r="BO900">
        <v>67.84</v>
      </c>
      <c r="BP900">
        <v>16.96</v>
      </c>
      <c r="BQ900">
        <f t="shared" si="14"/>
        <v>474.88000000000005</v>
      </c>
      <c r="BR900" t="s">
        <v>440</v>
      </c>
    </row>
    <row r="901" spans="1:70">
      <c r="A901" t="s">
        <v>3695</v>
      </c>
      <c r="B901" t="s">
        <v>3696</v>
      </c>
      <c r="C901" t="s">
        <v>71</v>
      </c>
      <c r="D901" t="s">
        <v>289</v>
      </c>
      <c r="E901" t="s">
        <v>73</v>
      </c>
      <c r="F901" t="s">
        <v>74</v>
      </c>
      <c r="G901">
        <v>242660</v>
      </c>
      <c r="H901" t="s">
        <v>74</v>
      </c>
      <c r="I901" t="s">
        <v>75</v>
      </c>
      <c r="J901" t="s">
        <v>74</v>
      </c>
      <c r="K901" t="s">
        <v>3697</v>
      </c>
      <c r="L901" t="s">
        <v>77</v>
      </c>
      <c r="M901" t="s">
        <v>78</v>
      </c>
      <c r="N901" t="s">
        <v>318</v>
      </c>
      <c r="O901" t="s">
        <v>319</v>
      </c>
      <c r="P901" t="s">
        <v>231</v>
      </c>
      <c r="X901">
        <v>6</v>
      </c>
      <c r="AF901" t="s">
        <v>400</v>
      </c>
      <c r="AG901" t="s">
        <v>296</v>
      </c>
      <c r="AH901" t="s">
        <v>400</v>
      </c>
      <c r="AJ901">
        <v>0</v>
      </c>
      <c r="AK901">
        <v>0</v>
      </c>
      <c r="AL901">
        <v>0</v>
      </c>
      <c r="AM901">
        <v>0</v>
      </c>
      <c r="AN901">
        <v>0</v>
      </c>
      <c r="AO901">
        <v>0</v>
      </c>
      <c r="AP901">
        <v>0</v>
      </c>
      <c r="AQ901">
        <v>0</v>
      </c>
      <c r="AR901">
        <v>0</v>
      </c>
      <c r="AS901">
        <v>0.9</v>
      </c>
      <c r="AT901">
        <v>0</v>
      </c>
      <c r="AU901">
        <v>0</v>
      </c>
      <c r="AV901">
        <v>0</v>
      </c>
      <c r="AW901">
        <v>0</v>
      </c>
      <c r="AX901">
        <v>0</v>
      </c>
      <c r="AY901">
        <v>0</v>
      </c>
      <c r="AZ901">
        <v>0</v>
      </c>
      <c r="BA901">
        <v>0</v>
      </c>
      <c r="BB901">
        <v>0</v>
      </c>
      <c r="BC901">
        <v>0</v>
      </c>
      <c r="BD901">
        <v>277.14</v>
      </c>
      <c r="BE901">
        <v>0</v>
      </c>
      <c r="BF901">
        <v>240</v>
      </c>
      <c r="BG901">
        <v>0</v>
      </c>
      <c r="BH901">
        <v>0</v>
      </c>
      <c r="BI901">
        <v>48</v>
      </c>
      <c r="BJ901">
        <v>0</v>
      </c>
      <c r="BK901">
        <v>0</v>
      </c>
      <c r="BL901">
        <v>0</v>
      </c>
      <c r="BM901">
        <v>0</v>
      </c>
      <c r="BN901">
        <v>566.04</v>
      </c>
      <c r="BO901">
        <v>90.56</v>
      </c>
      <c r="BP901">
        <v>22.65</v>
      </c>
      <c r="BQ901">
        <f t="shared" si="14"/>
        <v>633.94999999999993</v>
      </c>
      <c r="BR901" t="s">
        <v>320</v>
      </c>
    </row>
    <row r="902" spans="1:70">
      <c r="A902" t="s">
        <v>3698</v>
      </c>
      <c r="B902" t="s">
        <v>3699</v>
      </c>
      <c r="C902" t="s">
        <v>71</v>
      </c>
      <c r="D902" t="s">
        <v>289</v>
      </c>
      <c r="E902" t="s">
        <v>73</v>
      </c>
      <c r="F902" t="s">
        <v>74</v>
      </c>
      <c r="G902">
        <v>220138</v>
      </c>
      <c r="H902" t="s">
        <v>74</v>
      </c>
      <c r="I902" t="s">
        <v>75</v>
      </c>
      <c r="K902" t="s">
        <v>3700</v>
      </c>
      <c r="L902" t="s">
        <v>77</v>
      </c>
      <c r="M902" t="s">
        <v>78</v>
      </c>
      <c r="N902" t="s">
        <v>258</v>
      </c>
      <c r="O902" t="s">
        <v>3701</v>
      </c>
      <c r="P902" t="s">
        <v>231</v>
      </c>
      <c r="T902">
        <v>2</v>
      </c>
      <c r="AF902" t="s">
        <v>339</v>
      </c>
      <c r="AG902" t="s">
        <v>296</v>
      </c>
      <c r="AH902" t="s">
        <v>808</v>
      </c>
      <c r="AJ902">
        <v>0</v>
      </c>
      <c r="AK902">
        <v>0</v>
      </c>
      <c r="AL902">
        <v>0</v>
      </c>
      <c r="AM902">
        <v>0</v>
      </c>
      <c r="AN902">
        <v>0</v>
      </c>
      <c r="AO902">
        <v>0</v>
      </c>
      <c r="AP902">
        <v>0</v>
      </c>
      <c r="AQ902">
        <v>0</v>
      </c>
      <c r="AR902">
        <v>0</v>
      </c>
      <c r="AS902">
        <v>72.92</v>
      </c>
      <c r="AT902">
        <v>0</v>
      </c>
      <c r="AU902">
        <v>0</v>
      </c>
      <c r="AV902">
        <v>0</v>
      </c>
      <c r="AW902">
        <v>0</v>
      </c>
      <c r="AX902">
        <v>0</v>
      </c>
      <c r="AY902">
        <v>0</v>
      </c>
      <c r="AZ902">
        <v>0</v>
      </c>
      <c r="BA902">
        <v>0</v>
      </c>
      <c r="BB902">
        <v>0</v>
      </c>
      <c r="BC902">
        <v>0</v>
      </c>
      <c r="BD902">
        <v>4587.6400000000003</v>
      </c>
      <c r="BE902">
        <v>0</v>
      </c>
      <c r="BF902">
        <v>916.16</v>
      </c>
      <c r="BG902">
        <v>0</v>
      </c>
      <c r="BH902">
        <v>0</v>
      </c>
      <c r="BI902">
        <v>843.24</v>
      </c>
      <c r="BJ902">
        <v>0</v>
      </c>
      <c r="BK902">
        <v>0</v>
      </c>
      <c r="BL902">
        <v>0</v>
      </c>
      <c r="BM902">
        <v>0</v>
      </c>
      <c r="BN902">
        <v>6419.96</v>
      </c>
      <c r="BO902">
        <v>1027.2</v>
      </c>
      <c r="BP902">
        <v>256.81</v>
      </c>
      <c r="BQ902">
        <f t="shared" si="14"/>
        <v>7190.3499999999995</v>
      </c>
      <c r="BR902" t="s">
        <v>258</v>
      </c>
    </row>
    <row r="903" spans="1:70">
      <c r="A903" t="s">
        <v>3702</v>
      </c>
      <c r="B903" t="s">
        <v>3703</v>
      </c>
      <c r="C903" t="s">
        <v>71</v>
      </c>
      <c r="D903" t="s">
        <v>289</v>
      </c>
      <c r="E903" t="s">
        <v>73</v>
      </c>
      <c r="F903" t="s">
        <v>74</v>
      </c>
      <c r="G903">
        <v>220017</v>
      </c>
      <c r="H903" t="s">
        <v>74</v>
      </c>
      <c r="I903" t="s">
        <v>75</v>
      </c>
      <c r="J903" t="s">
        <v>74</v>
      </c>
      <c r="K903" t="s">
        <v>3704</v>
      </c>
      <c r="L903" t="s">
        <v>77</v>
      </c>
      <c r="M903" t="s">
        <v>78</v>
      </c>
      <c r="N903" t="s">
        <v>1064</v>
      </c>
      <c r="O903" t="s">
        <v>1833</v>
      </c>
      <c r="P903" t="s">
        <v>231</v>
      </c>
      <c r="X903">
        <v>20</v>
      </c>
      <c r="AF903" t="s">
        <v>384</v>
      </c>
      <c r="AG903" t="s">
        <v>296</v>
      </c>
      <c r="AH903" t="s">
        <v>384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3</v>
      </c>
      <c r="AT903">
        <v>0</v>
      </c>
      <c r="AU903">
        <v>0</v>
      </c>
      <c r="AV903">
        <v>0</v>
      </c>
      <c r="AW903">
        <v>0</v>
      </c>
      <c r="AX903">
        <v>0</v>
      </c>
      <c r="AY903">
        <v>0</v>
      </c>
      <c r="AZ903">
        <v>0</v>
      </c>
      <c r="BA903">
        <v>0</v>
      </c>
      <c r="BB903">
        <v>0</v>
      </c>
      <c r="BC903">
        <v>0</v>
      </c>
      <c r="BD903">
        <v>309</v>
      </c>
      <c r="BE903">
        <v>0</v>
      </c>
      <c r="BF903">
        <v>800</v>
      </c>
      <c r="BG903">
        <v>0</v>
      </c>
      <c r="BH903">
        <v>0</v>
      </c>
      <c r="BI903">
        <v>160</v>
      </c>
      <c r="BJ903">
        <v>0</v>
      </c>
      <c r="BK903">
        <v>0</v>
      </c>
      <c r="BL903">
        <v>0</v>
      </c>
      <c r="BM903">
        <v>0</v>
      </c>
      <c r="BN903">
        <v>1272</v>
      </c>
      <c r="BO903">
        <v>203.52</v>
      </c>
      <c r="BP903">
        <v>50.88</v>
      </c>
      <c r="BQ903">
        <f t="shared" si="14"/>
        <v>1424.6399999999999</v>
      </c>
      <c r="BR903" t="s">
        <v>83</v>
      </c>
    </row>
    <row r="904" spans="1:70">
      <c r="A904" t="s">
        <v>3705</v>
      </c>
      <c r="B904" t="s">
        <v>3706</v>
      </c>
      <c r="C904" t="s">
        <v>71</v>
      </c>
      <c r="D904" t="s">
        <v>289</v>
      </c>
      <c r="E904" t="s">
        <v>73</v>
      </c>
      <c r="F904" t="s">
        <v>74</v>
      </c>
      <c r="G904" t="s">
        <v>3707</v>
      </c>
      <c r="H904" t="s">
        <v>74</v>
      </c>
      <c r="I904" t="s">
        <v>75</v>
      </c>
      <c r="J904" t="s">
        <v>74</v>
      </c>
      <c r="K904" t="s">
        <v>3708</v>
      </c>
      <c r="L904" t="s">
        <v>77</v>
      </c>
      <c r="M904" t="s">
        <v>78</v>
      </c>
      <c r="N904" t="s">
        <v>1088</v>
      </c>
      <c r="O904" t="s">
        <v>3709</v>
      </c>
      <c r="P904" t="s">
        <v>231</v>
      </c>
      <c r="V904">
        <v>1</v>
      </c>
      <c r="AF904" t="s">
        <v>295</v>
      </c>
      <c r="AG904" t="s">
        <v>296</v>
      </c>
      <c r="AH904" t="s">
        <v>295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0.15</v>
      </c>
      <c r="AT904">
        <v>0</v>
      </c>
      <c r="AU904">
        <v>0</v>
      </c>
      <c r="AV904">
        <v>0</v>
      </c>
      <c r="AW904">
        <v>0</v>
      </c>
      <c r="AX904">
        <v>0</v>
      </c>
      <c r="AY904">
        <v>0</v>
      </c>
      <c r="AZ904">
        <v>0</v>
      </c>
      <c r="BA904">
        <v>0</v>
      </c>
      <c r="BB904">
        <v>0</v>
      </c>
      <c r="BC904">
        <v>0</v>
      </c>
      <c r="BD904">
        <v>375.85</v>
      </c>
      <c r="BE904">
        <v>0</v>
      </c>
      <c r="BF904">
        <v>40</v>
      </c>
      <c r="BG904">
        <v>0</v>
      </c>
      <c r="BH904">
        <v>0</v>
      </c>
      <c r="BI904">
        <v>8</v>
      </c>
      <c r="BJ904">
        <v>0</v>
      </c>
      <c r="BK904">
        <v>0</v>
      </c>
      <c r="BL904">
        <v>0</v>
      </c>
      <c r="BM904">
        <v>0</v>
      </c>
      <c r="BN904">
        <v>424</v>
      </c>
      <c r="BO904">
        <v>67.84</v>
      </c>
      <c r="BP904">
        <v>16.96</v>
      </c>
      <c r="BQ904">
        <f t="shared" si="14"/>
        <v>474.88000000000005</v>
      </c>
      <c r="BR904" t="s">
        <v>83</v>
      </c>
    </row>
    <row r="905" spans="1:70">
      <c r="A905" t="s">
        <v>3710</v>
      </c>
      <c r="B905" t="s">
        <v>3711</v>
      </c>
      <c r="C905" t="s">
        <v>71</v>
      </c>
      <c r="D905" t="s">
        <v>289</v>
      </c>
      <c r="E905" t="s">
        <v>73</v>
      </c>
      <c r="F905" t="s">
        <v>74</v>
      </c>
      <c r="G905">
        <v>242723</v>
      </c>
      <c r="H905" t="s">
        <v>74</v>
      </c>
      <c r="I905" t="s">
        <v>75</v>
      </c>
      <c r="J905" t="s">
        <v>74</v>
      </c>
      <c r="K905" t="s">
        <v>3712</v>
      </c>
      <c r="L905" t="s">
        <v>77</v>
      </c>
      <c r="M905" t="s">
        <v>78</v>
      </c>
      <c r="N905" t="s">
        <v>637</v>
      </c>
      <c r="O905" t="s">
        <v>1373</v>
      </c>
      <c r="P905" t="s">
        <v>267</v>
      </c>
      <c r="X905">
        <v>14</v>
      </c>
      <c r="AF905" t="s">
        <v>413</v>
      </c>
      <c r="AG905" t="s">
        <v>296</v>
      </c>
      <c r="AH905" t="s">
        <v>413</v>
      </c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  <c r="AP905">
        <v>0</v>
      </c>
      <c r="AQ905">
        <v>0</v>
      </c>
      <c r="AR905">
        <v>0</v>
      </c>
      <c r="AS905">
        <v>2.1</v>
      </c>
      <c r="AT905">
        <v>0</v>
      </c>
      <c r="AU905">
        <v>0</v>
      </c>
      <c r="AV905">
        <v>0</v>
      </c>
      <c r="AW905">
        <v>0</v>
      </c>
      <c r="AX905">
        <v>0</v>
      </c>
      <c r="AY905">
        <v>0</v>
      </c>
      <c r="AZ905">
        <v>0</v>
      </c>
      <c r="BA905">
        <v>0</v>
      </c>
      <c r="BB905">
        <v>0</v>
      </c>
      <c r="BC905">
        <v>0</v>
      </c>
      <c r="BD905">
        <v>646.66</v>
      </c>
      <c r="BE905">
        <v>0</v>
      </c>
      <c r="BF905">
        <v>560</v>
      </c>
      <c r="BG905">
        <v>0</v>
      </c>
      <c r="BH905">
        <v>0</v>
      </c>
      <c r="BI905">
        <v>112</v>
      </c>
      <c r="BJ905">
        <v>0</v>
      </c>
      <c r="BK905">
        <v>0</v>
      </c>
      <c r="BL905">
        <v>0</v>
      </c>
      <c r="BM905">
        <v>0</v>
      </c>
      <c r="BN905">
        <v>1320.76</v>
      </c>
      <c r="BO905">
        <v>211.33</v>
      </c>
      <c r="BP905">
        <v>52.83</v>
      </c>
      <c r="BQ905">
        <f t="shared" si="14"/>
        <v>1479.26</v>
      </c>
      <c r="BR905" t="s">
        <v>639</v>
      </c>
    </row>
    <row r="906" spans="1:70">
      <c r="A906" t="s">
        <v>3713</v>
      </c>
      <c r="B906" t="s">
        <v>3714</v>
      </c>
      <c r="C906" t="s">
        <v>71</v>
      </c>
      <c r="D906" t="s">
        <v>289</v>
      </c>
      <c r="E906" t="s">
        <v>73</v>
      </c>
      <c r="F906" t="s">
        <v>74</v>
      </c>
      <c r="G906">
        <v>242722</v>
      </c>
      <c r="H906" t="s">
        <v>74</v>
      </c>
      <c r="I906" t="s">
        <v>75</v>
      </c>
      <c r="J906" t="s">
        <v>74</v>
      </c>
      <c r="K906" t="s">
        <v>3715</v>
      </c>
      <c r="L906" t="s">
        <v>77</v>
      </c>
      <c r="M906" t="s">
        <v>78</v>
      </c>
      <c r="N906" t="s">
        <v>1318</v>
      </c>
      <c r="O906" t="s">
        <v>3716</v>
      </c>
      <c r="P906" t="s">
        <v>267</v>
      </c>
      <c r="V906">
        <v>1</v>
      </c>
      <c r="AF906" t="s">
        <v>295</v>
      </c>
      <c r="AG906" t="s">
        <v>296</v>
      </c>
      <c r="AH906" t="s">
        <v>295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  <c r="AP906">
        <v>0</v>
      </c>
      <c r="AQ906">
        <v>0</v>
      </c>
      <c r="AR906">
        <v>0</v>
      </c>
      <c r="AS906">
        <v>0.15</v>
      </c>
      <c r="AT906">
        <v>0</v>
      </c>
      <c r="AU906">
        <v>0</v>
      </c>
      <c r="AV906">
        <v>0</v>
      </c>
      <c r="AW906">
        <v>0</v>
      </c>
      <c r="AX906">
        <v>0</v>
      </c>
      <c r="AY906">
        <v>0</v>
      </c>
      <c r="AZ906">
        <v>0</v>
      </c>
      <c r="BA906">
        <v>0</v>
      </c>
      <c r="BB906">
        <v>0</v>
      </c>
      <c r="BC906">
        <v>0</v>
      </c>
      <c r="BD906">
        <v>375.85</v>
      </c>
      <c r="BE906">
        <v>0</v>
      </c>
      <c r="BF906">
        <v>40</v>
      </c>
      <c r="BG906">
        <v>0</v>
      </c>
      <c r="BH906">
        <v>0</v>
      </c>
      <c r="BI906">
        <v>8</v>
      </c>
      <c r="BJ906">
        <v>0</v>
      </c>
      <c r="BK906">
        <v>0</v>
      </c>
      <c r="BL906">
        <v>0</v>
      </c>
      <c r="BM906">
        <v>0</v>
      </c>
      <c r="BN906">
        <v>424</v>
      </c>
      <c r="BO906">
        <v>67.84</v>
      </c>
      <c r="BP906">
        <v>16.96</v>
      </c>
      <c r="BQ906">
        <f t="shared" si="14"/>
        <v>474.88000000000005</v>
      </c>
      <c r="BR906" t="s">
        <v>1318</v>
      </c>
    </row>
    <row r="907" spans="1:70">
      <c r="A907" t="s">
        <v>3717</v>
      </c>
      <c r="B907" t="s">
        <v>3718</v>
      </c>
      <c r="C907" t="s">
        <v>71</v>
      </c>
      <c r="D907" t="s">
        <v>289</v>
      </c>
      <c r="E907" t="s">
        <v>73</v>
      </c>
      <c r="F907" t="s">
        <v>74</v>
      </c>
      <c r="G907">
        <v>242741</v>
      </c>
      <c r="H907" t="s">
        <v>74</v>
      </c>
      <c r="I907" t="s">
        <v>75</v>
      </c>
      <c r="J907" t="s">
        <v>74</v>
      </c>
      <c r="K907" t="s">
        <v>3719</v>
      </c>
      <c r="L907" t="s">
        <v>77</v>
      </c>
      <c r="M907" t="s">
        <v>78</v>
      </c>
      <c r="N907" t="s">
        <v>343</v>
      </c>
      <c r="O907" t="s">
        <v>1538</v>
      </c>
      <c r="P907" t="s">
        <v>267</v>
      </c>
      <c r="X907">
        <v>12</v>
      </c>
      <c r="AF907" t="s">
        <v>379</v>
      </c>
      <c r="AG907" t="s">
        <v>296</v>
      </c>
      <c r="AH907" t="s">
        <v>379</v>
      </c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1.8</v>
      </c>
      <c r="AT907">
        <v>0</v>
      </c>
      <c r="AU907">
        <v>0</v>
      </c>
      <c r="AV907">
        <v>0</v>
      </c>
      <c r="AW907">
        <v>0</v>
      </c>
      <c r="AX907">
        <v>0</v>
      </c>
      <c r="AY907">
        <v>0</v>
      </c>
      <c r="AZ907">
        <v>0</v>
      </c>
      <c r="BA907">
        <v>0</v>
      </c>
      <c r="BB907">
        <v>0</v>
      </c>
      <c r="BC907">
        <v>0</v>
      </c>
      <c r="BD907">
        <v>185.4</v>
      </c>
      <c r="BE907">
        <v>0</v>
      </c>
      <c r="BF907">
        <v>480</v>
      </c>
      <c r="BG907">
        <v>0</v>
      </c>
      <c r="BH907">
        <v>0</v>
      </c>
      <c r="BI907">
        <v>96</v>
      </c>
      <c r="BJ907">
        <v>0</v>
      </c>
      <c r="BK907">
        <v>0</v>
      </c>
      <c r="BL907">
        <v>0</v>
      </c>
      <c r="BM907">
        <v>0</v>
      </c>
      <c r="BN907">
        <v>763.2</v>
      </c>
      <c r="BO907">
        <v>122.11</v>
      </c>
      <c r="BP907">
        <v>30.53</v>
      </c>
      <c r="BQ907">
        <f t="shared" si="14"/>
        <v>854.78000000000009</v>
      </c>
      <c r="BR907" t="s">
        <v>343</v>
      </c>
    </row>
    <row r="908" spans="1:70">
      <c r="A908" t="s">
        <v>3720</v>
      </c>
      <c r="B908" t="s">
        <v>3721</v>
      </c>
      <c r="C908" t="s">
        <v>71</v>
      </c>
      <c r="D908" t="s">
        <v>289</v>
      </c>
      <c r="E908" t="s">
        <v>73</v>
      </c>
      <c r="F908" t="s">
        <v>74</v>
      </c>
      <c r="G908">
        <v>242740</v>
      </c>
      <c r="H908" t="s">
        <v>74</v>
      </c>
      <c r="I908" t="s">
        <v>75</v>
      </c>
      <c r="J908" t="s">
        <v>74</v>
      </c>
      <c r="K908" t="s">
        <v>3722</v>
      </c>
      <c r="L908" t="s">
        <v>77</v>
      </c>
      <c r="M908" t="s">
        <v>78</v>
      </c>
      <c r="N908" t="s">
        <v>191</v>
      </c>
      <c r="O908" t="s">
        <v>3723</v>
      </c>
      <c r="P908" t="s">
        <v>267</v>
      </c>
      <c r="AD908">
        <v>4</v>
      </c>
      <c r="AF908" t="s">
        <v>326</v>
      </c>
      <c r="AG908" t="s">
        <v>296</v>
      </c>
      <c r="AH908" t="s">
        <v>326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0.6</v>
      </c>
      <c r="AT908">
        <v>0</v>
      </c>
      <c r="AU908">
        <v>0</v>
      </c>
      <c r="AV908">
        <v>0</v>
      </c>
      <c r="AW908">
        <v>0</v>
      </c>
      <c r="AX908">
        <v>0</v>
      </c>
      <c r="AY908">
        <v>0</v>
      </c>
      <c r="AZ908">
        <v>0</v>
      </c>
      <c r="BA908">
        <v>0</v>
      </c>
      <c r="BB908">
        <v>0</v>
      </c>
      <c r="BC908">
        <v>0</v>
      </c>
      <c r="BD908">
        <v>279.12</v>
      </c>
      <c r="BE908">
        <v>0</v>
      </c>
      <c r="BF908">
        <v>160</v>
      </c>
      <c r="BG908">
        <v>0</v>
      </c>
      <c r="BH908">
        <v>0</v>
      </c>
      <c r="BI908">
        <v>32</v>
      </c>
      <c r="BJ908">
        <v>0</v>
      </c>
      <c r="BK908">
        <v>0</v>
      </c>
      <c r="BL908">
        <v>0</v>
      </c>
      <c r="BM908">
        <v>0</v>
      </c>
      <c r="BN908">
        <v>471.72</v>
      </c>
      <c r="BO908">
        <v>75.48</v>
      </c>
      <c r="BP908">
        <v>18.86</v>
      </c>
      <c r="BQ908">
        <f t="shared" si="14"/>
        <v>528.34</v>
      </c>
      <c r="BR908" t="s">
        <v>195</v>
      </c>
    </row>
    <row r="909" spans="1:70">
      <c r="A909" t="s">
        <v>3724</v>
      </c>
      <c r="B909" t="s">
        <v>3725</v>
      </c>
      <c r="C909" t="s">
        <v>71</v>
      </c>
      <c r="D909" t="s">
        <v>289</v>
      </c>
      <c r="E909" t="s">
        <v>73</v>
      </c>
      <c r="F909" t="s">
        <v>74</v>
      </c>
      <c r="G909">
        <v>242742</v>
      </c>
      <c r="H909" t="s">
        <v>74</v>
      </c>
      <c r="I909" t="s">
        <v>75</v>
      </c>
      <c r="J909" t="s">
        <v>74</v>
      </c>
      <c r="K909" t="s">
        <v>3726</v>
      </c>
      <c r="L909" t="s">
        <v>77</v>
      </c>
      <c r="M909" t="s">
        <v>78</v>
      </c>
      <c r="N909" t="s">
        <v>239</v>
      </c>
      <c r="O909" t="s">
        <v>3727</v>
      </c>
      <c r="P909" t="s">
        <v>267</v>
      </c>
      <c r="X909">
        <v>19</v>
      </c>
      <c r="AF909" t="s">
        <v>569</v>
      </c>
      <c r="AG909" t="s">
        <v>296</v>
      </c>
      <c r="AH909" t="s">
        <v>569</v>
      </c>
      <c r="AJ909">
        <v>0</v>
      </c>
      <c r="AK909">
        <v>0</v>
      </c>
      <c r="AL909">
        <v>0</v>
      </c>
      <c r="AM909">
        <v>0</v>
      </c>
      <c r="AN909">
        <v>0</v>
      </c>
      <c r="AO909">
        <v>0</v>
      </c>
      <c r="AP909">
        <v>0</v>
      </c>
      <c r="AQ909">
        <v>0</v>
      </c>
      <c r="AR909">
        <v>0</v>
      </c>
      <c r="AS909">
        <v>2.85</v>
      </c>
      <c r="AT909">
        <v>0</v>
      </c>
      <c r="AU909">
        <v>0</v>
      </c>
      <c r="AV909">
        <v>0</v>
      </c>
      <c r="AW909">
        <v>0</v>
      </c>
      <c r="AX909">
        <v>0</v>
      </c>
      <c r="AY909">
        <v>0</v>
      </c>
      <c r="AZ909">
        <v>0</v>
      </c>
      <c r="BA909">
        <v>0</v>
      </c>
      <c r="BB909">
        <v>0</v>
      </c>
      <c r="BC909">
        <v>0</v>
      </c>
      <c r="BD909">
        <v>293.55</v>
      </c>
      <c r="BE909">
        <v>0</v>
      </c>
      <c r="BF909">
        <v>760</v>
      </c>
      <c r="BG909">
        <v>0</v>
      </c>
      <c r="BH909">
        <v>0</v>
      </c>
      <c r="BI909">
        <v>152</v>
      </c>
      <c r="BJ909">
        <v>0</v>
      </c>
      <c r="BK909">
        <v>0</v>
      </c>
      <c r="BL909">
        <v>0</v>
      </c>
      <c r="BM909">
        <v>0</v>
      </c>
      <c r="BN909">
        <v>1208.4000000000001</v>
      </c>
      <c r="BO909">
        <v>193.35</v>
      </c>
      <c r="BP909">
        <v>48.33</v>
      </c>
      <c r="BQ909">
        <f t="shared" si="14"/>
        <v>1353.42</v>
      </c>
      <c r="BR909" t="s">
        <v>242</v>
      </c>
    </row>
    <row r="910" spans="1:70">
      <c r="A910" t="s">
        <v>3728</v>
      </c>
      <c r="B910" t="s">
        <v>3729</v>
      </c>
      <c r="C910" t="s">
        <v>71</v>
      </c>
      <c r="D910" t="s">
        <v>289</v>
      </c>
      <c r="E910" t="s">
        <v>73</v>
      </c>
      <c r="F910" t="s">
        <v>74</v>
      </c>
      <c r="G910">
        <v>242748</v>
      </c>
      <c r="H910" t="s">
        <v>74</v>
      </c>
      <c r="I910" t="s">
        <v>75</v>
      </c>
      <c r="J910" t="s">
        <v>74</v>
      </c>
      <c r="K910" t="s">
        <v>3730</v>
      </c>
      <c r="L910" t="s">
        <v>77</v>
      </c>
      <c r="M910" t="s">
        <v>78</v>
      </c>
      <c r="N910" t="s">
        <v>501</v>
      </c>
      <c r="O910" t="s">
        <v>3731</v>
      </c>
      <c r="P910" t="s">
        <v>267</v>
      </c>
      <c r="X910">
        <v>12</v>
      </c>
      <c r="AF910" t="s">
        <v>379</v>
      </c>
      <c r="AG910" t="s">
        <v>296</v>
      </c>
      <c r="AH910" t="s">
        <v>379</v>
      </c>
      <c r="AJ910">
        <v>0</v>
      </c>
      <c r="AK910">
        <v>0</v>
      </c>
      <c r="AL910">
        <v>0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1.8</v>
      </c>
      <c r="AT910">
        <v>0</v>
      </c>
      <c r="AU910">
        <v>0</v>
      </c>
      <c r="AV910">
        <v>0</v>
      </c>
      <c r="AW910">
        <v>0</v>
      </c>
      <c r="AX910">
        <v>0</v>
      </c>
      <c r="AY910">
        <v>0</v>
      </c>
      <c r="AZ910">
        <v>0</v>
      </c>
      <c r="BA910">
        <v>0</v>
      </c>
      <c r="BB910">
        <v>0</v>
      </c>
      <c r="BC910">
        <v>0</v>
      </c>
      <c r="BD910">
        <v>554.28</v>
      </c>
      <c r="BE910">
        <v>0</v>
      </c>
      <c r="BF910">
        <v>480</v>
      </c>
      <c r="BG910">
        <v>0</v>
      </c>
      <c r="BH910">
        <v>0</v>
      </c>
      <c r="BI910">
        <v>96</v>
      </c>
      <c r="BJ910">
        <v>0</v>
      </c>
      <c r="BK910">
        <v>0</v>
      </c>
      <c r="BL910">
        <v>0</v>
      </c>
      <c r="BM910">
        <v>0</v>
      </c>
      <c r="BN910">
        <v>1132.08</v>
      </c>
      <c r="BO910">
        <v>181.13</v>
      </c>
      <c r="BP910">
        <v>45.28</v>
      </c>
      <c r="BQ910">
        <f t="shared" si="14"/>
        <v>1267.93</v>
      </c>
      <c r="BR910" t="s">
        <v>501</v>
      </c>
    </row>
    <row r="911" spans="1:70">
      <c r="A911" t="s">
        <v>3732</v>
      </c>
      <c r="B911" t="s">
        <v>3733</v>
      </c>
      <c r="C911" t="s">
        <v>71</v>
      </c>
      <c r="D911" t="s">
        <v>289</v>
      </c>
      <c r="E911" t="s">
        <v>73</v>
      </c>
      <c r="F911" t="s">
        <v>74</v>
      </c>
      <c r="G911">
        <v>242788</v>
      </c>
      <c r="H911" t="s">
        <v>74</v>
      </c>
      <c r="I911" t="s">
        <v>75</v>
      </c>
      <c r="J911" t="s">
        <v>74</v>
      </c>
      <c r="K911" t="s">
        <v>3734</v>
      </c>
      <c r="L911" t="s">
        <v>77</v>
      </c>
      <c r="M911" t="s">
        <v>78</v>
      </c>
      <c r="N911" t="s">
        <v>83</v>
      </c>
      <c r="O911" t="s">
        <v>3735</v>
      </c>
      <c r="P911" t="s">
        <v>267</v>
      </c>
      <c r="AB911">
        <v>3</v>
      </c>
      <c r="AF911" t="s">
        <v>314</v>
      </c>
      <c r="AG911" t="s">
        <v>296</v>
      </c>
      <c r="AH911" t="s">
        <v>314</v>
      </c>
      <c r="AJ911">
        <v>0</v>
      </c>
      <c r="AK911">
        <v>0</v>
      </c>
      <c r="AL911">
        <v>0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0.45</v>
      </c>
      <c r="AT911">
        <v>0</v>
      </c>
      <c r="AU911">
        <v>0</v>
      </c>
      <c r="AV911">
        <v>0</v>
      </c>
      <c r="AW911">
        <v>0</v>
      </c>
      <c r="AX911">
        <v>0</v>
      </c>
      <c r="AY911">
        <v>0</v>
      </c>
      <c r="AZ911">
        <v>0</v>
      </c>
      <c r="BA911">
        <v>0</v>
      </c>
      <c r="BB911">
        <v>0</v>
      </c>
      <c r="BC911">
        <v>0</v>
      </c>
      <c r="BD911">
        <v>279.54000000000002</v>
      </c>
      <c r="BE911">
        <v>0</v>
      </c>
      <c r="BF911">
        <v>120</v>
      </c>
      <c r="BG911">
        <v>0</v>
      </c>
      <c r="BH911">
        <v>0</v>
      </c>
      <c r="BI911">
        <v>24</v>
      </c>
      <c r="BJ911">
        <v>0</v>
      </c>
      <c r="BK911">
        <v>0</v>
      </c>
      <c r="BL911">
        <v>0</v>
      </c>
      <c r="BM911">
        <v>0</v>
      </c>
      <c r="BN911">
        <v>423.99</v>
      </c>
      <c r="BO911">
        <v>67.84</v>
      </c>
      <c r="BP911">
        <v>16.96</v>
      </c>
      <c r="BQ911">
        <f t="shared" si="14"/>
        <v>474.87000000000006</v>
      </c>
      <c r="BR911" t="s">
        <v>83</v>
      </c>
    </row>
    <row r="912" spans="1:70">
      <c r="A912" t="s">
        <v>3736</v>
      </c>
      <c r="B912" t="s">
        <v>3737</v>
      </c>
      <c r="C912" t="s">
        <v>71</v>
      </c>
      <c r="D912" t="s">
        <v>289</v>
      </c>
      <c r="E912" t="s">
        <v>73</v>
      </c>
      <c r="F912" t="s">
        <v>74</v>
      </c>
      <c r="G912">
        <v>242787</v>
      </c>
      <c r="H912" t="s">
        <v>74</v>
      </c>
      <c r="I912" t="s">
        <v>75</v>
      </c>
      <c r="J912" t="s">
        <v>74</v>
      </c>
      <c r="K912" t="s">
        <v>3738</v>
      </c>
      <c r="L912" t="s">
        <v>77</v>
      </c>
      <c r="M912" t="s">
        <v>78</v>
      </c>
      <c r="N912" t="s">
        <v>1730</v>
      </c>
      <c r="O912" t="s">
        <v>3308</v>
      </c>
      <c r="P912" t="s">
        <v>267</v>
      </c>
      <c r="X912">
        <v>22</v>
      </c>
      <c r="AF912" t="s">
        <v>445</v>
      </c>
      <c r="AG912" t="s">
        <v>296</v>
      </c>
      <c r="AH912" t="s">
        <v>445</v>
      </c>
      <c r="AJ912">
        <v>0</v>
      </c>
      <c r="AK912">
        <v>0</v>
      </c>
      <c r="AL912">
        <v>0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3.3</v>
      </c>
      <c r="AT912">
        <v>0</v>
      </c>
      <c r="AU912">
        <v>0</v>
      </c>
      <c r="AV912">
        <v>0</v>
      </c>
      <c r="AW912">
        <v>0</v>
      </c>
      <c r="AX912">
        <v>0</v>
      </c>
      <c r="AY912">
        <v>0</v>
      </c>
      <c r="AZ912">
        <v>0</v>
      </c>
      <c r="BA912">
        <v>0</v>
      </c>
      <c r="BB912">
        <v>0</v>
      </c>
      <c r="BC912">
        <v>0</v>
      </c>
      <c r="BD912">
        <v>1016.18</v>
      </c>
      <c r="BE912">
        <v>0</v>
      </c>
      <c r="BF912">
        <v>880</v>
      </c>
      <c r="BG912">
        <v>0</v>
      </c>
      <c r="BH912">
        <v>0</v>
      </c>
      <c r="BI912">
        <v>176</v>
      </c>
      <c r="BJ912">
        <v>0</v>
      </c>
      <c r="BK912">
        <v>0</v>
      </c>
      <c r="BL912">
        <v>0</v>
      </c>
      <c r="BM912">
        <v>0</v>
      </c>
      <c r="BN912">
        <v>2075.48</v>
      </c>
      <c r="BO912">
        <v>332.08</v>
      </c>
      <c r="BP912">
        <v>83.02</v>
      </c>
      <c r="BQ912">
        <f t="shared" si="14"/>
        <v>2324.54</v>
      </c>
      <c r="BR912" t="s">
        <v>1732</v>
      </c>
    </row>
    <row r="913" spans="1:70">
      <c r="A913" t="s">
        <v>3739</v>
      </c>
      <c r="B913" t="s">
        <v>3740</v>
      </c>
      <c r="C913" t="s">
        <v>71</v>
      </c>
      <c r="D913" t="s">
        <v>289</v>
      </c>
      <c r="E913" t="s">
        <v>73</v>
      </c>
      <c r="F913" t="s">
        <v>74</v>
      </c>
      <c r="G913">
        <v>242765</v>
      </c>
      <c r="H913" t="s">
        <v>74</v>
      </c>
      <c r="I913" t="s">
        <v>75</v>
      </c>
      <c r="K913" t="s">
        <v>3741</v>
      </c>
      <c r="L913" t="s">
        <v>77</v>
      </c>
      <c r="M913" t="s">
        <v>78</v>
      </c>
      <c r="N913" t="s">
        <v>343</v>
      </c>
      <c r="O913" t="s">
        <v>1538</v>
      </c>
      <c r="P913" t="s">
        <v>267</v>
      </c>
      <c r="X913">
        <v>18</v>
      </c>
      <c r="AF913" t="s">
        <v>395</v>
      </c>
      <c r="AG913" t="s">
        <v>296</v>
      </c>
      <c r="AH913" t="s">
        <v>395</v>
      </c>
      <c r="AJ913">
        <v>0</v>
      </c>
      <c r="AK913">
        <v>0</v>
      </c>
      <c r="AL913">
        <v>0</v>
      </c>
      <c r="AM913">
        <v>0</v>
      </c>
      <c r="AN913">
        <v>0</v>
      </c>
      <c r="AO913">
        <v>0</v>
      </c>
      <c r="AP913">
        <v>0</v>
      </c>
      <c r="AQ913">
        <v>0</v>
      </c>
      <c r="AR913">
        <v>0</v>
      </c>
      <c r="AS913">
        <v>2.7</v>
      </c>
      <c r="AT913">
        <v>0</v>
      </c>
      <c r="AU913">
        <v>0</v>
      </c>
      <c r="AV913">
        <v>0</v>
      </c>
      <c r="AW913">
        <v>0</v>
      </c>
      <c r="AX913">
        <v>0</v>
      </c>
      <c r="AY913">
        <v>0</v>
      </c>
      <c r="AZ913">
        <v>0</v>
      </c>
      <c r="BA913">
        <v>0</v>
      </c>
      <c r="BB913">
        <v>0</v>
      </c>
      <c r="BC913">
        <v>0</v>
      </c>
      <c r="BD913">
        <v>278.10000000000002</v>
      </c>
      <c r="BE913">
        <v>0</v>
      </c>
      <c r="BF913">
        <v>720</v>
      </c>
      <c r="BG913">
        <v>0</v>
      </c>
      <c r="BH913">
        <v>0</v>
      </c>
      <c r="BI913">
        <v>144</v>
      </c>
      <c r="BJ913">
        <v>0</v>
      </c>
      <c r="BK913">
        <v>0</v>
      </c>
      <c r="BL913">
        <v>0</v>
      </c>
      <c r="BM913">
        <v>0</v>
      </c>
      <c r="BN913">
        <v>1144.8</v>
      </c>
      <c r="BO913">
        <v>183.17</v>
      </c>
      <c r="BP913">
        <v>45.79</v>
      </c>
      <c r="BQ913">
        <f t="shared" si="14"/>
        <v>1282.18</v>
      </c>
      <c r="BR913" t="s">
        <v>343</v>
      </c>
    </row>
    <row r="914" spans="1:70">
      <c r="A914" t="s">
        <v>3742</v>
      </c>
      <c r="B914" t="s">
        <v>3743</v>
      </c>
      <c r="C914" t="s">
        <v>71</v>
      </c>
      <c r="D914" t="s">
        <v>289</v>
      </c>
      <c r="E914" t="s">
        <v>73</v>
      </c>
      <c r="F914" t="s">
        <v>74</v>
      </c>
      <c r="G914">
        <v>242761</v>
      </c>
      <c r="H914" t="s">
        <v>74</v>
      </c>
      <c r="I914" t="s">
        <v>75</v>
      </c>
      <c r="J914" t="s">
        <v>74</v>
      </c>
      <c r="K914" t="s">
        <v>3744</v>
      </c>
      <c r="L914" t="s">
        <v>77</v>
      </c>
      <c r="M914" t="s">
        <v>78</v>
      </c>
      <c r="N914" t="s">
        <v>358</v>
      </c>
      <c r="O914" t="s">
        <v>359</v>
      </c>
      <c r="P914" t="s">
        <v>267</v>
      </c>
      <c r="AD914">
        <v>4</v>
      </c>
      <c r="AF914" t="s">
        <v>326</v>
      </c>
      <c r="AG914" t="s">
        <v>296</v>
      </c>
      <c r="AH914" t="s">
        <v>326</v>
      </c>
      <c r="AJ914">
        <v>0</v>
      </c>
      <c r="AK914">
        <v>0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0.6</v>
      </c>
      <c r="AT914">
        <v>0</v>
      </c>
      <c r="AU914">
        <v>0</v>
      </c>
      <c r="AV914">
        <v>0</v>
      </c>
      <c r="AW914">
        <v>0</v>
      </c>
      <c r="AX914">
        <v>0</v>
      </c>
      <c r="AY914">
        <v>0</v>
      </c>
      <c r="AZ914">
        <v>0</v>
      </c>
      <c r="BA914">
        <v>0</v>
      </c>
      <c r="BB914">
        <v>0</v>
      </c>
      <c r="BC914">
        <v>0</v>
      </c>
      <c r="BD914">
        <v>279.12</v>
      </c>
      <c r="BE914">
        <v>0</v>
      </c>
      <c r="BF914">
        <v>160</v>
      </c>
      <c r="BG914">
        <v>0</v>
      </c>
      <c r="BH914">
        <v>0</v>
      </c>
      <c r="BI914">
        <v>32</v>
      </c>
      <c r="BJ914">
        <v>0</v>
      </c>
      <c r="BK914">
        <v>0</v>
      </c>
      <c r="BL914">
        <v>0</v>
      </c>
      <c r="BM914">
        <v>0</v>
      </c>
      <c r="BN914">
        <v>471.72</v>
      </c>
      <c r="BO914">
        <v>75.48</v>
      </c>
      <c r="BP914">
        <v>18.86</v>
      </c>
      <c r="BQ914">
        <f t="shared" si="14"/>
        <v>528.34</v>
      </c>
      <c r="BR914" t="s">
        <v>358</v>
      </c>
    </row>
    <row r="915" spans="1:70">
      <c r="A915" t="s">
        <v>3745</v>
      </c>
      <c r="B915" t="s">
        <v>3746</v>
      </c>
      <c r="C915" t="s">
        <v>71</v>
      </c>
      <c r="D915" t="s">
        <v>289</v>
      </c>
      <c r="E915" t="s">
        <v>73</v>
      </c>
      <c r="F915" t="s">
        <v>74</v>
      </c>
      <c r="G915">
        <v>242757</v>
      </c>
      <c r="H915" t="s">
        <v>74</v>
      </c>
      <c r="I915" t="s">
        <v>75</v>
      </c>
      <c r="J915" t="s">
        <v>74</v>
      </c>
      <c r="K915" t="s">
        <v>3747</v>
      </c>
      <c r="L915" t="s">
        <v>77</v>
      </c>
      <c r="M915" t="s">
        <v>78</v>
      </c>
      <c r="N915" t="s">
        <v>137</v>
      </c>
      <c r="O915" t="s">
        <v>2693</v>
      </c>
      <c r="P915" t="s">
        <v>267</v>
      </c>
      <c r="X915">
        <v>25</v>
      </c>
      <c r="AF915" t="s">
        <v>717</v>
      </c>
      <c r="AG915" t="s">
        <v>296</v>
      </c>
      <c r="AH915" t="s">
        <v>717</v>
      </c>
      <c r="AJ915">
        <v>0</v>
      </c>
      <c r="AK915">
        <v>0</v>
      </c>
      <c r="AL915">
        <v>0</v>
      </c>
      <c r="AM915">
        <v>0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3.75</v>
      </c>
      <c r="AT915">
        <v>0</v>
      </c>
      <c r="AU915">
        <v>0</v>
      </c>
      <c r="AV915">
        <v>0</v>
      </c>
      <c r="AW915">
        <v>0</v>
      </c>
      <c r="AX915">
        <v>0</v>
      </c>
      <c r="AY915">
        <v>0</v>
      </c>
      <c r="AZ915">
        <v>0</v>
      </c>
      <c r="BA915">
        <v>0</v>
      </c>
      <c r="BB915">
        <v>0</v>
      </c>
      <c r="BC915">
        <v>0</v>
      </c>
      <c r="BD915">
        <v>1154.75</v>
      </c>
      <c r="BE915">
        <v>0</v>
      </c>
      <c r="BF915">
        <v>1000</v>
      </c>
      <c r="BG915">
        <v>0</v>
      </c>
      <c r="BH915">
        <v>0</v>
      </c>
      <c r="BI915">
        <v>200</v>
      </c>
      <c r="BJ915">
        <v>0</v>
      </c>
      <c r="BK915">
        <v>0</v>
      </c>
      <c r="BL915">
        <v>0</v>
      </c>
      <c r="BM915">
        <v>0</v>
      </c>
      <c r="BN915">
        <v>2358.5</v>
      </c>
      <c r="BO915">
        <v>377.36</v>
      </c>
      <c r="BP915">
        <v>94.34</v>
      </c>
      <c r="BQ915">
        <f t="shared" si="14"/>
        <v>2641.52</v>
      </c>
      <c r="BR915" t="s">
        <v>141</v>
      </c>
    </row>
    <row r="916" spans="1:70">
      <c r="A916" t="s">
        <v>3748</v>
      </c>
      <c r="B916" t="s">
        <v>3749</v>
      </c>
      <c r="C916" t="s">
        <v>71</v>
      </c>
      <c r="D916" t="s">
        <v>289</v>
      </c>
      <c r="E916" t="s">
        <v>73</v>
      </c>
      <c r="F916" t="s">
        <v>74</v>
      </c>
      <c r="G916">
        <v>242755</v>
      </c>
      <c r="H916" t="s">
        <v>74</v>
      </c>
      <c r="I916" t="s">
        <v>75</v>
      </c>
      <c r="J916" t="s">
        <v>74</v>
      </c>
      <c r="K916" t="s">
        <v>3750</v>
      </c>
      <c r="L916" t="s">
        <v>77</v>
      </c>
      <c r="M916" t="s">
        <v>78</v>
      </c>
      <c r="N916" t="s">
        <v>501</v>
      </c>
      <c r="O916" t="s">
        <v>3731</v>
      </c>
      <c r="P916" t="s">
        <v>267</v>
      </c>
      <c r="X916">
        <v>5</v>
      </c>
      <c r="AF916" t="s">
        <v>333</v>
      </c>
      <c r="AG916" t="s">
        <v>296</v>
      </c>
      <c r="AH916" t="s">
        <v>333</v>
      </c>
      <c r="AJ916">
        <v>0</v>
      </c>
      <c r="AK916">
        <v>0</v>
      </c>
      <c r="AL916">
        <v>0</v>
      </c>
      <c r="AM916">
        <v>0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0.75</v>
      </c>
      <c r="AT916">
        <v>0</v>
      </c>
      <c r="AU916">
        <v>0</v>
      </c>
      <c r="AV916">
        <v>0</v>
      </c>
      <c r="AW916">
        <v>0</v>
      </c>
      <c r="AX916">
        <v>0</v>
      </c>
      <c r="AY916">
        <v>0</v>
      </c>
      <c r="AZ916">
        <v>0</v>
      </c>
      <c r="BA916">
        <v>0</v>
      </c>
      <c r="BB916">
        <v>0</v>
      </c>
      <c r="BC916">
        <v>0</v>
      </c>
      <c r="BD916">
        <v>230.95</v>
      </c>
      <c r="BE916">
        <v>0</v>
      </c>
      <c r="BF916">
        <v>200</v>
      </c>
      <c r="BG916">
        <v>0</v>
      </c>
      <c r="BH916">
        <v>0</v>
      </c>
      <c r="BI916">
        <v>40</v>
      </c>
      <c r="BJ916">
        <v>0</v>
      </c>
      <c r="BK916">
        <v>0</v>
      </c>
      <c r="BL916">
        <v>0</v>
      </c>
      <c r="BM916">
        <v>0</v>
      </c>
      <c r="BN916">
        <v>471.7</v>
      </c>
      <c r="BO916">
        <v>75.47</v>
      </c>
      <c r="BP916">
        <v>18.87</v>
      </c>
      <c r="BQ916">
        <f t="shared" si="14"/>
        <v>528.29999999999995</v>
      </c>
      <c r="BR916" t="s">
        <v>501</v>
      </c>
    </row>
    <row r="917" spans="1:70">
      <c r="A917" t="s">
        <v>3751</v>
      </c>
      <c r="B917" t="s">
        <v>3752</v>
      </c>
      <c r="C917" t="s">
        <v>71</v>
      </c>
      <c r="D917" t="s">
        <v>289</v>
      </c>
      <c r="E917" t="s">
        <v>73</v>
      </c>
      <c r="F917" t="s">
        <v>74</v>
      </c>
      <c r="G917">
        <v>242754</v>
      </c>
      <c r="H917" t="s">
        <v>74</v>
      </c>
      <c r="I917" t="s">
        <v>75</v>
      </c>
      <c r="J917" t="s">
        <v>74</v>
      </c>
      <c r="K917" t="s">
        <v>3753</v>
      </c>
      <c r="L917" t="s">
        <v>77</v>
      </c>
      <c r="M917" t="s">
        <v>78</v>
      </c>
      <c r="N917" t="s">
        <v>2041</v>
      </c>
      <c r="O917" t="s">
        <v>2042</v>
      </c>
      <c r="P917" t="s">
        <v>267</v>
      </c>
      <c r="X917">
        <v>19</v>
      </c>
      <c r="AF917" t="s">
        <v>569</v>
      </c>
      <c r="AG917" t="s">
        <v>296</v>
      </c>
      <c r="AH917" t="s">
        <v>569</v>
      </c>
      <c r="AJ917">
        <v>0</v>
      </c>
      <c r="AK917">
        <v>0</v>
      </c>
      <c r="AL917">
        <v>0</v>
      </c>
      <c r="AM917">
        <v>0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2.85</v>
      </c>
      <c r="AT917">
        <v>0</v>
      </c>
      <c r="AU917">
        <v>0</v>
      </c>
      <c r="AV917">
        <v>0</v>
      </c>
      <c r="AW917">
        <v>0</v>
      </c>
      <c r="AX917">
        <v>0</v>
      </c>
      <c r="AY917">
        <v>0</v>
      </c>
      <c r="AZ917">
        <v>0</v>
      </c>
      <c r="BA917">
        <v>0</v>
      </c>
      <c r="BB917">
        <v>0</v>
      </c>
      <c r="BC917">
        <v>0</v>
      </c>
      <c r="BD917">
        <v>877.61</v>
      </c>
      <c r="BE917">
        <v>0</v>
      </c>
      <c r="BF917">
        <v>760</v>
      </c>
      <c r="BG917">
        <v>0</v>
      </c>
      <c r="BH917">
        <v>0</v>
      </c>
      <c r="BI917">
        <v>152</v>
      </c>
      <c r="BJ917">
        <v>0</v>
      </c>
      <c r="BK917">
        <v>0</v>
      </c>
      <c r="BL917">
        <v>0</v>
      </c>
      <c r="BM917">
        <v>0</v>
      </c>
      <c r="BN917">
        <v>1792.46</v>
      </c>
      <c r="BO917">
        <v>286.8</v>
      </c>
      <c r="BP917">
        <v>71.69</v>
      </c>
      <c r="BQ917">
        <f t="shared" si="14"/>
        <v>2007.5700000000002</v>
      </c>
      <c r="BR917" t="s">
        <v>2041</v>
      </c>
    </row>
    <row r="918" spans="1:70">
      <c r="A918" t="s">
        <v>3754</v>
      </c>
      <c r="B918" t="s">
        <v>3755</v>
      </c>
      <c r="C918" t="s">
        <v>71</v>
      </c>
      <c r="D918" t="s">
        <v>289</v>
      </c>
      <c r="E918" t="s">
        <v>73</v>
      </c>
      <c r="F918" t="s">
        <v>74</v>
      </c>
      <c r="G918">
        <v>242753</v>
      </c>
      <c r="H918" t="s">
        <v>74</v>
      </c>
      <c r="I918" t="s">
        <v>75</v>
      </c>
      <c r="J918" t="s">
        <v>74</v>
      </c>
      <c r="K918" t="s">
        <v>3756</v>
      </c>
      <c r="L918" t="s">
        <v>77</v>
      </c>
      <c r="M918" t="s">
        <v>78</v>
      </c>
      <c r="N918" t="s">
        <v>757</v>
      </c>
      <c r="O918" t="s">
        <v>899</v>
      </c>
      <c r="P918" t="s">
        <v>267</v>
      </c>
      <c r="AD918">
        <v>4</v>
      </c>
      <c r="AF918" t="s">
        <v>326</v>
      </c>
      <c r="AG918" t="s">
        <v>296</v>
      </c>
      <c r="AH918" t="s">
        <v>326</v>
      </c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0.6</v>
      </c>
      <c r="AT918">
        <v>0</v>
      </c>
      <c r="AU918">
        <v>0</v>
      </c>
      <c r="AV918">
        <v>0</v>
      </c>
      <c r="AW918">
        <v>0</v>
      </c>
      <c r="AX918">
        <v>0</v>
      </c>
      <c r="AY918">
        <v>0</v>
      </c>
      <c r="AZ918">
        <v>0</v>
      </c>
      <c r="BA918">
        <v>0</v>
      </c>
      <c r="BB918">
        <v>0</v>
      </c>
      <c r="BC918">
        <v>0</v>
      </c>
      <c r="BD918">
        <v>231.4</v>
      </c>
      <c r="BE918">
        <v>0</v>
      </c>
      <c r="BF918">
        <v>160</v>
      </c>
      <c r="BG918">
        <v>0</v>
      </c>
      <c r="BH918">
        <v>0</v>
      </c>
      <c r="BI918">
        <v>32</v>
      </c>
      <c r="BJ918">
        <v>0</v>
      </c>
      <c r="BK918">
        <v>0</v>
      </c>
      <c r="BL918">
        <v>0</v>
      </c>
      <c r="BM918">
        <v>0</v>
      </c>
      <c r="BN918">
        <v>424</v>
      </c>
      <c r="BO918">
        <v>67.84</v>
      </c>
      <c r="BP918">
        <v>16.96</v>
      </c>
      <c r="BQ918">
        <f t="shared" si="14"/>
        <v>474.88000000000005</v>
      </c>
      <c r="BR918" t="s">
        <v>757</v>
      </c>
    </row>
    <row r="919" spans="1:70">
      <c r="A919" t="s">
        <v>3757</v>
      </c>
      <c r="B919" t="s">
        <v>3758</v>
      </c>
      <c r="C919" t="s">
        <v>71</v>
      </c>
      <c r="D919" t="s">
        <v>289</v>
      </c>
      <c r="E919" t="s">
        <v>73</v>
      </c>
      <c r="F919" t="s">
        <v>74</v>
      </c>
      <c r="G919">
        <v>242770</v>
      </c>
      <c r="H919" t="s">
        <v>74</v>
      </c>
      <c r="I919" t="s">
        <v>75</v>
      </c>
      <c r="J919" t="s">
        <v>74</v>
      </c>
      <c r="K919" t="s">
        <v>3759</v>
      </c>
      <c r="L919" t="s">
        <v>77</v>
      </c>
      <c r="M919" t="s">
        <v>78</v>
      </c>
      <c r="N919" t="s">
        <v>2033</v>
      </c>
      <c r="O919" t="s">
        <v>3760</v>
      </c>
      <c r="P919" t="s">
        <v>267</v>
      </c>
      <c r="X919">
        <v>10</v>
      </c>
      <c r="AF919" t="s">
        <v>372</v>
      </c>
      <c r="AG919" t="s">
        <v>296</v>
      </c>
      <c r="AH919" t="s">
        <v>372</v>
      </c>
      <c r="AJ919">
        <v>0</v>
      </c>
      <c r="AK919">
        <v>0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1.5</v>
      </c>
      <c r="AT919">
        <v>0</v>
      </c>
      <c r="AU919">
        <v>0</v>
      </c>
      <c r="AV919">
        <v>0</v>
      </c>
      <c r="AW919">
        <v>0</v>
      </c>
      <c r="AX919">
        <v>0</v>
      </c>
      <c r="AY919">
        <v>0</v>
      </c>
      <c r="AZ919">
        <v>0</v>
      </c>
      <c r="BA919">
        <v>0</v>
      </c>
      <c r="BB919">
        <v>0</v>
      </c>
      <c r="BC919">
        <v>0</v>
      </c>
      <c r="BD919">
        <v>461.9</v>
      </c>
      <c r="BE919">
        <v>0</v>
      </c>
      <c r="BF919">
        <v>400</v>
      </c>
      <c r="BG919">
        <v>0</v>
      </c>
      <c r="BH919">
        <v>0</v>
      </c>
      <c r="BI919">
        <v>80</v>
      </c>
      <c r="BJ919">
        <v>0</v>
      </c>
      <c r="BK919">
        <v>0</v>
      </c>
      <c r="BL919">
        <v>0</v>
      </c>
      <c r="BM919">
        <v>0</v>
      </c>
      <c r="BN919">
        <v>943.4</v>
      </c>
      <c r="BO919">
        <v>150.94</v>
      </c>
      <c r="BP919">
        <v>37.74</v>
      </c>
      <c r="BQ919">
        <f t="shared" si="14"/>
        <v>1056.5999999999999</v>
      </c>
      <c r="BR919" t="s">
        <v>332</v>
      </c>
    </row>
    <row r="920" spans="1:70">
      <c r="A920" t="s">
        <v>3761</v>
      </c>
      <c r="B920" t="s">
        <v>3762</v>
      </c>
      <c r="C920" t="s">
        <v>71</v>
      </c>
      <c r="D920" t="s">
        <v>289</v>
      </c>
      <c r="E920" t="s">
        <v>73</v>
      </c>
      <c r="F920" t="s">
        <v>74</v>
      </c>
      <c r="G920">
        <v>242745</v>
      </c>
      <c r="H920" t="s">
        <v>74</v>
      </c>
      <c r="I920" t="s">
        <v>75</v>
      </c>
      <c r="J920" t="s">
        <v>74</v>
      </c>
      <c r="K920" t="s">
        <v>3763</v>
      </c>
      <c r="L920" t="s">
        <v>77</v>
      </c>
      <c r="M920" t="s">
        <v>78</v>
      </c>
      <c r="N920" t="s">
        <v>191</v>
      </c>
      <c r="O920" t="s">
        <v>511</v>
      </c>
      <c r="P920" t="s">
        <v>267</v>
      </c>
      <c r="T920">
        <v>4</v>
      </c>
      <c r="AF920" t="s">
        <v>1234</v>
      </c>
      <c r="AG920" t="s">
        <v>296</v>
      </c>
      <c r="AH920" t="s">
        <v>1234</v>
      </c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145.84</v>
      </c>
      <c r="AT920">
        <v>0</v>
      </c>
      <c r="AU920">
        <v>0</v>
      </c>
      <c r="AV920">
        <v>0</v>
      </c>
      <c r="AW920">
        <v>0</v>
      </c>
      <c r="AX920">
        <v>0</v>
      </c>
      <c r="AY920">
        <v>0</v>
      </c>
      <c r="AZ920">
        <v>0</v>
      </c>
      <c r="BA920">
        <v>0</v>
      </c>
      <c r="BB920">
        <v>0</v>
      </c>
      <c r="BC920">
        <v>0</v>
      </c>
      <c r="BD920">
        <v>12839.92</v>
      </c>
      <c r="BE920">
        <v>0</v>
      </c>
      <c r="BF920">
        <v>1832.32</v>
      </c>
      <c r="BG920">
        <v>0</v>
      </c>
      <c r="BH920">
        <v>0</v>
      </c>
      <c r="BI920">
        <v>1686.48</v>
      </c>
      <c r="BJ920">
        <v>0</v>
      </c>
      <c r="BK920">
        <v>0</v>
      </c>
      <c r="BL920">
        <v>0</v>
      </c>
      <c r="BM920">
        <v>0</v>
      </c>
      <c r="BN920">
        <v>16504.560000000001</v>
      </c>
      <c r="BO920">
        <v>2640.73</v>
      </c>
      <c r="BP920">
        <v>660.18</v>
      </c>
      <c r="BQ920">
        <f t="shared" si="14"/>
        <v>18485.11</v>
      </c>
      <c r="BR920" t="s">
        <v>195</v>
      </c>
    </row>
    <row r="921" spans="1:70">
      <c r="A921" t="s">
        <v>3764</v>
      </c>
      <c r="B921" t="s">
        <v>3765</v>
      </c>
      <c r="C921" t="s">
        <v>71</v>
      </c>
      <c r="D921" t="s">
        <v>289</v>
      </c>
      <c r="E921" t="s">
        <v>73</v>
      </c>
      <c r="F921" t="s">
        <v>74</v>
      </c>
      <c r="G921" t="s">
        <v>3766</v>
      </c>
      <c r="H921" t="s">
        <v>74</v>
      </c>
      <c r="I921" t="s">
        <v>75</v>
      </c>
      <c r="J921" t="s">
        <v>74</v>
      </c>
      <c r="K921" t="s">
        <v>3767</v>
      </c>
      <c r="L921" t="s">
        <v>77</v>
      </c>
      <c r="M921" t="s">
        <v>78</v>
      </c>
      <c r="N921" t="s">
        <v>620</v>
      </c>
      <c r="O921" t="s">
        <v>3768</v>
      </c>
      <c r="P921" t="s">
        <v>267</v>
      </c>
      <c r="X921">
        <v>8</v>
      </c>
      <c r="AF921" t="s">
        <v>1006</v>
      </c>
      <c r="AG921" t="s">
        <v>296</v>
      </c>
      <c r="AH921" t="s">
        <v>1006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1.2</v>
      </c>
      <c r="AT921">
        <v>0</v>
      </c>
      <c r="AU921">
        <v>0</v>
      </c>
      <c r="AV921">
        <v>0</v>
      </c>
      <c r="AW921">
        <v>0</v>
      </c>
      <c r="AX921">
        <v>0</v>
      </c>
      <c r="AY921">
        <v>0</v>
      </c>
      <c r="AZ921">
        <v>0</v>
      </c>
      <c r="BA921">
        <v>0</v>
      </c>
      <c r="BB921">
        <v>0</v>
      </c>
      <c r="BC921">
        <v>0</v>
      </c>
      <c r="BD921">
        <v>123.6</v>
      </c>
      <c r="BE921">
        <v>0</v>
      </c>
      <c r="BF921">
        <v>320</v>
      </c>
      <c r="BG921">
        <v>0</v>
      </c>
      <c r="BH921">
        <v>0</v>
      </c>
      <c r="BI921">
        <v>64</v>
      </c>
      <c r="BJ921">
        <v>0</v>
      </c>
      <c r="BK921">
        <v>0</v>
      </c>
      <c r="BL921">
        <v>0</v>
      </c>
      <c r="BM921">
        <v>0</v>
      </c>
      <c r="BN921">
        <v>508.8</v>
      </c>
      <c r="BO921">
        <v>81.41</v>
      </c>
      <c r="BP921">
        <v>20.350000000000001</v>
      </c>
      <c r="BQ921">
        <f t="shared" si="14"/>
        <v>569.86</v>
      </c>
      <c r="BR921" t="s">
        <v>83</v>
      </c>
    </row>
    <row r="922" spans="1:70">
      <c r="A922" t="s">
        <v>3769</v>
      </c>
      <c r="B922" t="s">
        <v>3770</v>
      </c>
      <c r="C922" t="s">
        <v>71</v>
      </c>
      <c r="D922" t="s">
        <v>289</v>
      </c>
      <c r="E922" t="s">
        <v>73</v>
      </c>
      <c r="F922" t="s">
        <v>74</v>
      </c>
      <c r="G922">
        <v>242793</v>
      </c>
      <c r="H922" t="s">
        <v>74</v>
      </c>
      <c r="I922" t="s">
        <v>75</v>
      </c>
      <c r="J922" t="s">
        <v>74</v>
      </c>
      <c r="K922" t="s">
        <v>3771</v>
      </c>
      <c r="L922" t="s">
        <v>77</v>
      </c>
      <c r="M922" t="s">
        <v>78</v>
      </c>
      <c r="N922" t="s">
        <v>432</v>
      </c>
      <c r="O922" t="s">
        <v>3772</v>
      </c>
      <c r="P922" t="s">
        <v>284</v>
      </c>
      <c r="V922">
        <v>1</v>
      </c>
      <c r="AF922" t="s">
        <v>295</v>
      </c>
      <c r="AG922" t="s">
        <v>296</v>
      </c>
      <c r="AH922" t="s">
        <v>295</v>
      </c>
      <c r="AJ922">
        <v>0</v>
      </c>
      <c r="AK922">
        <v>0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0.15</v>
      </c>
      <c r="AT922">
        <v>0</v>
      </c>
      <c r="AU922">
        <v>0</v>
      </c>
      <c r="AV922">
        <v>0</v>
      </c>
      <c r="AW922">
        <v>0</v>
      </c>
      <c r="AX922">
        <v>0</v>
      </c>
      <c r="AY922">
        <v>0</v>
      </c>
      <c r="AZ922">
        <v>0</v>
      </c>
      <c r="BA922">
        <v>0</v>
      </c>
      <c r="BB922">
        <v>0</v>
      </c>
      <c r="BC922">
        <v>0</v>
      </c>
      <c r="BD922">
        <v>423.55</v>
      </c>
      <c r="BE922">
        <v>0</v>
      </c>
      <c r="BF922">
        <v>40</v>
      </c>
      <c r="BG922">
        <v>0</v>
      </c>
      <c r="BH922">
        <v>0</v>
      </c>
      <c r="BI922">
        <v>8</v>
      </c>
      <c r="BJ922">
        <v>0</v>
      </c>
      <c r="BK922">
        <v>0</v>
      </c>
      <c r="BL922">
        <v>0</v>
      </c>
      <c r="BM922">
        <v>0</v>
      </c>
      <c r="BN922">
        <v>471.7</v>
      </c>
      <c r="BO922">
        <v>75.47</v>
      </c>
      <c r="BP922">
        <v>18.87</v>
      </c>
      <c r="BQ922">
        <f t="shared" si="14"/>
        <v>528.29999999999995</v>
      </c>
      <c r="BR922" t="s">
        <v>432</v>
      </c>
    </row>
    <row r="923" spans="1:70">
      <c r="A923" t="s">
        <v>3773</v>
      </c>
      <c r="B923" t="s">
        <v>3774</v>
      </c>
      <c r="C923" t="s">
        <v>71</v>
      </c>
      <c r="D923" t="s">
        <v>289</v>
      </c>
      <c r="E923" t="s">
        <v>73</v>
      </c>
      <c r="F923" t="s">
        <v>74</v>
      </c>
      <c r="G923">
        <v>242850</v>
      </c>
      <c r="H923" t="s">
        <v>74</v>
      </c>
      <c r="I923" t="s">
        <v>75</v>
      </c>
      <c r="J923" t="s">
        <v>74</v>
      </c>
      <c r="K923" t="s">
        <v>3775</v>
      </c>
      <c r="L923" t="s">
        <v>77</v>
      </c>
      <c r="M923" t="s">
        <v>78</v>
      </c>
      <c r="N923" t="s">
        <v>2263</v>
      </c>
      <c r="O923" t="s">
        <v>3776</v>
      </c>
      <c r="P923" t="s">
        <v>284</v>
      </c>
      <c r="X923">
        <v>9</v>
      </c>
      <c r="AF923" t="s">
        <v>407</v>
      </c>
      <c r="AG923" t="s">
        <v>296</v>
      </c>
      <c r="AH923" t="s">
        <v>407</v>
      </c>
      <c r="AJ923">
        <v>0</v>
      </c>
      <c r="AK923">
        <v>0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1.35</v>
      </c>
      <c r="AT923">
        <v>0</v>
      </c>
      <c r="AU923">
        <v>0</v>
      </c>
      <c r="AV923">
        <v>0</v>
      </c>
      <c r="AW923">
        <v>0</v>
      </c>
      <c r="AX923">
        <v>0</v>
      </c>
      <c r="AY923">
        <v>0</v>
      </c>
      <c r="AZ923">
        <v>0</v>
      </c>
      <c r="BA923">
        <v>0</v>
      </c>
      <c r="BB923">
        <v>0</v>
      </c>
      <c r="BC923">
        <v>0</v>
      </c>
      <c r="BD923">
        <v>139.05000000000001</v>
      </c>
      <c r="BE923">
        <v>0</v>
      </c>
      <c r="BF923">
        <v>360</v>
      </c>
      <c r="BG923">
        <v>0</v>
      </c>
      <c r="BH923">
        <v>0</v>
      </c>
      <c r="BI923">
        <v>72</v>
      </c>
      <c r="BJ923">
        <v>0</v>
      </c>
      <c r="BK923">
        <v>0</v>
      </c>
      <c r="BL923">
        <v>0</v>
      </c>
      <c r="BM923">
        <v>0</v>
      </c>
      <c r="BN923">
        <v>572.4</v>
      </c>
      <c r="BO923">
        <v>91.59</v>
      </c>
      <c r="BP923">
        <v>22.89</v>
      </c>
      <c r="BQ923">
        <f t="shared" si="14"/>
        <v>641.1</v>
      </c>
      <c r="BR923" t="s">
        <v>83</v>
      </c>
    </row>
    <row r="924" spans="1:70">
      <c r="A924" t="s">
        <v>3777</v>
      </c>
      <c r="B924" t="s">
        <v>3778</v>
      </c>
      <c r="C924" t="s">
        <v>71</v>
      </c>
      <c r="D924" t="s">
        <v>289</v>
      </c>
      <c r="E924" t="s">
        <v>73</v>
      </c>
      <c r="F924" t="s">
        <v>74</v>
      </c>
      <c r="G924">
        <v>242849</v>
      </c>
      <c r="H924" t="s">
        <v>74</v>
      </c>
      <c r="I924" t="s">
        <v>75</v>
      </c>
      <c r="J924" t="s">
        <v>74</v>
      </c>
      <c r="K924" t="s">
        <v>3779</v>
      </c>
      <c r="L924" t="s">
        <v>77</v>
      </c>
      <c r="M924" t="s">
        <v>78</v>
      </c>
      <c r="N924" t="s">
        <v>2263</v>
      </c>
      <c r="O924" t="s">
        <v>3776</v>
      </c>
      <c r="P924" t="s">
        <v>284</v>
      </c>
      <c r="X924">
        <v>24</v>
      </c>
      <c r="AF924" t="s">
        <v>1177</v>
      </c>
      <c r="AG924" t="s">
        <v>296</v>
      </c>
      <c r="AH924" t="s">
        <v>1177</v>
      </c>
      <c r="AJ924">
        <v>0</v>
      </c>
      <c r="AK924">
        <v>0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3.6</v>
      </c>
      <c r="AT924">
        <v>0</v>
      </c>
      <c r="AU924">
        <v>0</v>
      </c>
      <c r="AV924">
        <v>0</v>
      </c>
      <c r="AW924">
        <v>0</v>
      </c>
      <c r="AX924">
        <v>0</v>
      </c>
      <c r="AY924">
        <v>0</v>
      </c>
      <c r="AZ924">
        <v>0</v>
      </c>
      <c r="BA924">
        <v>0</v>
      </c>
      <c r="BB924">
        <v>0</v>
      </c>
      <c r="BC924">
        <v>0</v>
      </c>
      <c r="BD924">
        <v>370.8</v>
      </c>
      <c r="BE924">
        <v>0</v>
      </c>
      <c r="BF924">
        <v>960</v>
      </c>
      <c r="BG924">
        <v>0</v>
      </c>
      <c r="BH924">
        <v>0</v>
      </c>
      <c r="BI924">
        <v>192</v>
      </c>
      <c r="BJ924">
        <v>0</v>
      </c>
      <c r="BK924">
        <v>0</v>
      </c>
      <c r="BL924">
        <v>0</v>
      </c>
      <c r="BM924">
        <v>0</v>
      </c>
      <c r="BN924">
        <v>1526.4</v>
      </c>
      <c r="BO924">
        <v>244.23</v>
      </c>
      <c r="BP924">
        <v>61.05</v>
      </c>
      <c r="BQ924">
        <f t="shared" si="14"/>
        <v>1709.5800000000002</v>
      </c>
      <c r="BR924" t="s">
        <v>83</v>
      </c>
    </row>
    <row r="925" spans="1:70">
      <c r="A925" t="s">
        <v>3780</v>
      </c>
      <c r="B925" t="s">
        <v>3781</v>
      </c>
      <c r="C925" t="s">
        <v>71</v>
      </c>
      <c r="D925" t="s">
        <v>289</v>
      </c>
      <c r="E925" t="s">
        <v>73</v>
      </c>
      <c r="F925" t="s">
        <v>74</v>
      </c>
      <c r="G925">
        <v>242856</v>
      </c>
      <c r="H925" t="s">
        <v>74</v>
      </c>
      <c r="I925" t="s">
        <v>75</v>
      </c>
      <c r="J925" t="s">
        <v>74</v>
      </c>
      <c r="K925" t="s">
        <v>3782</v>
      </c>
      <c r="L925" t="s">
        <v>77</v>
      </c>
      <c r="M925" t="s">
        <v>78</v>
      </c>
      <c r="N925" t="s">
        <v>438</v>
      </c>
      <c r="O925" t="s">
        <v>1462</v>
      </c>
      <c r="P925" t="s">
        <v>284</v>
      </c>
      <c r="X925">
        <v>17</v>
      </c>
      <c r="AF925" t="s">
        <v>464</v>
      </c>
      <c r="AG925" t="s">
        <v>296</v>
      </c>
      <c r="AH925" t="s">
        <v>464</v>
      </c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2.5499999999999998</v>
      </c>
      <c r="AT925">
        <v>0</v>
      </c>
      <c r="AU925">
        <v>0</v>
      </c>
      <c r="AV925">
        <v>0</v>
      </c>
      <c r="AW925">
        <v>0</v>
      </c>
      <c r="AX925">
        <v>0</v>
      </c>
      <c r="AY925">
        <v>0</v>
      </c>
      <c r="AZ925">
        <v>0</v>
      </c>
      <c r="BA925">
        <v>0</v>
      </c>
      <c r="BB925">
        <v>0</v>
      </c>
      <c r="BC925">
        <v>0</v>
      </c>
      <c r="BD925">
        <v>262.64999999999998</v>
      </c>
      <c r="BE925">
        <v>0</v>
      </c>
      <c r="BF925">
        <v>680</v>
      </c>
      <c r="BG925">
        <v>0</v>
      </c>
      <c r="BH925">
        <v>0</v>
      </c>
      <c r="BI925">
        <v>136</v>
      </c>
      <c r="BJ925">
        <v>0</v>
      </c>
      <c r="BK925">
        <v>0</v>
      </c>
      <c r="BL925">
        <v>0</v>
      </c>
      <c r="BM925">
        <v>0</v>
      </c>
      <c r="BN925">
        <v>1081.2</v>
      </c>
      <c r="BO925">
        <v>172.99</v>
      </c>
      <c r="BP925">
        <v>43.25</v>
      </c>
      <c r="BQ925">
        <f t="shared" si="14"/>
        <v>1210.94</v>
      </c>
      <c r="BR925" t="s">
        <v>440</v>
      </c>
    </row>
    <row r="926" spans="1:70">
      <c r="A926" t="s">
        <v>3783</v>
      </c>
      <c r="B926" t="s">
        <v>3784</v>
      </c>
      <c r="C926" t="s">
        <v>71</v>
      </c>
      <c r="D926" t="s">
        <v>289</v>
      </c>
      <c r="E926" t="s">
        <v>73</v>
      </c>
      <c r="F926" t="s">
        <v>74</v>
      </c>
      <c r="G926">
        <v>242848</v>
      </c>
      <c r="H926" t="s">
        <v>74</v>
      </c>
      <c r="I926" t="s">
        <v>75</v>
      </c>
      <c r="J926" t="s">
        <v>74</v>
      </c>
      <c r="K926" t="s">
        <v>3785</v>
      </c>
      <c r="L926" t="s">
        <v>77</v>
      </c>
      <c r="M926" t="s">
        <v>78</v>
      </c>
      <c r="N926" t="s">
        <v>637</v>
      </c>
      <c r="O926" t="s">
        <v>1445</v>
      </c>
      <c r="P926" t="s">
        <v>284</v>
      </c>
      <c r="X926">
        <v>7</v>
      </c>
      <c r="AF926" t="s">
        <v>345</v>
      </c>
      <c r="AG926" t="s">
        <v>296</v>
      </c>
      <c r="AH926" t="s">
        <v>345</v>
      </c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1.05</v>
      </c>
      <c r="AT926">
        <v>0</v>
      </c>
      <c r="AU926">
        <v>0</v>
      </c>
      <c r="AV926">
        <v>0</v>
      </c>
      <c r="AW926">
        <v>0</v>
      </c>
      <c r="AX926">
        <v>0</v>
      </c>
      <c r="AY926">
        <v>0</v>
      </c>
      <c r="AZ926">
        <v>0</v>
      </c>
      <c r="BA926">
        <v>0</v>
      </c>
      <c r="BB926">
        <v>0</v>
      </c>
      <c r="BC926">
        <v>0</v>
      </c>
      <c r="BD926">
        <v>323.33</v>
      </c>
      <c r="BE926">
        <v>0</v>
      </c>
      <c r="BF926">
        <v>280</v>
      </c>
      <c r="BG926">
        <v>0</v>
      </c>
      <c r="BH926">
        <v>0</v>
      </c>
      <c r="BI926">
        <v>56</v>
      </c>
      <c r="BJ926">
        <v>0</v>
      </c>
      <c r="BK926">
        <v>0</v>
      </c>
      <c r="BL926">
        <v>0</v>
      </c>
      <c r="BM926">
        <v>0</v>
      </c>
      <c r="BN926">
        <v>660.38</v>
      </c>
      <c r="BO926">
        <v>105.66</v>
      </c>
      <c r="BP926">
        <v>26.41</v>
      </c>
      <c r="BQ926">
        <f t="shared" si="14"/>
        <v>739.63</v>
      </c>
      <c r="BR926" t="s">
        <v>639</v>
      </c>
    </row>
    <row r="927" spans="1:70">
      <c r="A927" t="s">
        <v>3786</v>
      </c>
      <c r="B927" t="s">
        <v>3787</v>
      </c>
      <c r="C927" t="s">
        <v>71</v>
      </c>
      <c r="D927" t="s">
        <v>289</v>
      </c>
      <c r="E927" t="s">
        <v>73</v>
      </c>
      <c r="F927" t="s">
        <v>74</v>
      </c>
      <c r="G927">
        <v>242844</v>
      </c>
      <c r="H927" t="s">
        <v>74</v>
      </c>
      <c r="I927" t="s">
        <v>75</v>
      </c>
      <c r="J927" t="s">
        <v>74</v>
      </c>
      <c r="K927" t="s">
        <v>3788</v>
      </c>
      <c r="L927" t="s">
        <v>77</v>
      </c>
      <c r="M927" t="s">
        <v>78</v>
      </c>
      <c r="N927" t="s">
        <v>318</v>
      </c>
      <c r="O927" t="s">
        <v>582</v>
      </c>
      <c r="P927" t="s">
        <v>284</v>
      </c>
      <c r="V927">
        <v>1</v>
      </c>
      <c r="AF927" t="s">
        <v>295</v>
      </c>
      <c r="AG927" t="s">
        <v>296</v>
      </c>
      <c r="AH927" t="s">
        <v>295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0.15</v>
      </c>
      <c r="AT927">
        <v>0</v>
      </c>
      <c r="AU927">
        <v>0</v>
      </c>
      <c r="AV927">
        <v>0</v>
      </c>
      <c r="AW927">
        <v>0</v>
      </c>
      <c r="AX927">
        <v>0</v>
      </c>
      <c r="AY927">
        <v>0</v>
      </c>
      <c r="AZ927">
        <v>0</v>
      </c>
      <c r="BA927">
        <v>0</v>
      </c>
      <c r="BB927">
        <v>0</v>
      </c>
      <c r="BC927">
        <v>0</v>
      </c>
      <c r="BD927">
        <v>423.55</v>
      </c>
      <c r="BE927">
        <v>0</v>
      </c>
      <c r="BF927">
        <v>40</v>
      </c>
      <c r="BG927">
        <v>0</v>
      </c>
      <c r="BH927">
        <v>0</v>
      </c>
      <c r="BI927">
        <v>8</v>
      </c>
      <c r="BJ927">
        <v>0</v>
      </c>
      <c r="BK927">
        <v>0</v>
      </c>
      <c r="BL927">
        <v>0</v>
      </c>
      <c r="BM927">
        <v>0</v>
      </c>
      <c r="BN927">
        <v>471.7</v>
      </c>
      <c r="BO927">
        <v>75.47</v>
      </c>
      <c r="BP927">
        <v>18.87</v>
      </c>
      <c r="BQ927">
        <f t="shared" si="14"/>
        <v>528.29999999999995</v>
      </c>
      <c r="BR927" t="s">
        <v>320</v>
      </c>
    </row>
    <row r="928" spans="1:70">
      <c r="A928" t="s">
        <v>3789</v>
      </c>
      <c r="B928" t="s">
        <v>3790</v>
      </c>
      <c r="C928" t="s">
        <v>71</v>
      </c>
      <c r="D928" t="s">
        <v>289</v>
      </c>
      <c r="E928" t="s">
        <v>73</v>
      </c>
      <c r="F928" t="s">
        <v>74</v>
      </c>
      <c r="G928">
        <v>242837</v>
      </c>
      <c r="H928" t="s">
        <v>74</v>
      </c>
      <c r="I928" t="s">
        <v>75</v>
      </c>
      <c r="J928" t="s">
        <v>74</v>
      </c>
      <c r="K928" t="s">
        <v>3791</v>
      </c>
      <c r="L928" t="s">
        <v>77</v>
      </c>
      <c r="M928" t="s">
        <v>78</v>
      </c>
      <c r="N928" t="s">
        <v>558</v>
      </c>
      <c r="O928" t="s">
        <v>1005</v>
      </c>
      <c r="P928" t="s">
        <v>284</v>
      </c>
      <c r="X928">
        <v>6</v>
      </c>
      <c r="AF928" t="s">
        <v>400</v>
      </c>
      <c r="AG928" t="s">
        <v>296</v>
      </c>
      <c r="AH928" t="s">
        <v>400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0.9</v>
      </c>
      <c r="AT928">
        <v>0</v>
      </c>
      <c r="AU928">
        <v>0</v>
      </c>
      <c r="AV928">
        <v>0</v>
      </c>
      <c r="AW928">
        <v>0</v>
      </c>
      <c r="AX928">
        <v>0</v>
      </c>
      <c r="AY928">
        <v>0</v>
      </c>
      <c r="AZ928">
        <v>0</v>
      </c>
      <c r="BA928">
        <v>0</v>
      </c>
      <c r="BB928">
        <v>0</v>
      </c>
      <c r="BC928">
        <v>0</v>
      </c>
      <c r="BD928">
        <v>277.14</v>
      </c>
      <c r="BE928">
        <v>0</v>
      </c>
      <c r="BF928">
        <v>240</v>
      </c>
      <c r="BG928">
        <v>0</v>
      </c>
      <c r="BH928">
        <v>0</v>
      </c>
      <c r="BI928">
        <v>48</v>
      </c>
      <c r="BJ928">
        <v>0</v>
      </c>
      <c r="BK928">
        <v>0</v>
      </c>
      <c r="BL928">
        <v>0</v>
      </c>
      <c r="BM928">
        <v>0</v>
      </c>
      <c r="BN928">
        <v>566.04</v>
      </c>
      <c r="BO928">
        <v>90.56</v>
      </c>
      <c r="BP928">
        <v>22.65</v>
      </c>
      <c r="BQ928">
        <f t="shared" si="14"/>
        <v>633.94999999999993</v>
      </c>
      <c r="BR928" t="s">
        <v>560</v>
      </c>
    </row>
    <row r="929" spans="1:70">
      <c r="A929" t="s">
        <v>3792</v>
      </c>
      <c r="B929" t="s">
        <v>3793</v>
      </c>
      <c r="C929" t="s">
        <v>71</v>
      </c>
      <c r="D929" t="s">
        <v>289</v>
      </c>
      <c r="E929" t="s">
        <v>73</v>
      </c>
      <c r="F929" t="s">
        <v>74</v>
      </c>
      <c r="G929">
        <v>242834</v>
      </c>
      <c r="H929" t="s">
        <v>74</v>
      </c>
      <c r="I929" t="s">
        <v>75</v>
      </c>
      <c r="J929" t="s">
        <v>74</v>
      </c>
      <c r="K929" t="s">
        <v>3794</v>
      </c>
      <c r="L929" t="s">
        <v>77</v>
      </c>
      <c r="M929" t="s">
        <v>78</v>
      </c>
      <c r="N929" t="s">
        <v>3795</v>
      </c>
      <c r="O929" t="s">
        <v>3796</v>
      </c>
      <c r="P929" t="s">
        <v>284</v>
      </c>
      <c r="V929">
        <v>1</v>
      </c>
      <c r="AF929" t="s">
        <v>295</v>
      </c>
      <c r="AG929" t="s">
        <v>296</v>
      </c>
      <c r="AH929" t="s">
        <v>295</v>
      </c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0.15</v>
      </c>
      <c r="AT929">
        <v>0</v>
      </c>
      <c r="AU929">
        <v>0</v>
      </c>
      <c r="AV929">
        <v>0</v>
      </c>
      <c r="AW929">
        <v>0</v>
      </c>
      <c r="AX929">
        <v>0</v>
      </c>
      <c r="AY929">
        <v>0</v>
      </c>
      <c r="AZ929">
        <v>0</v>
      </c>
      <c r="BA929">
        <v>0</v>
      </c>
      <c r="BB929">
        <v>0</v>
      </c>
      <c r="BC929">
        <v>0</v>
      </c>
      <c r="BD929">
        <v>375.85</v>
      </c>
      <c r="BE929">
        <v>0</v>
      </c>
      <c r="BF929">
        <v>40</v>
      </c>
      <c r="BG929">
        <v>0</v>
      </c>
      <c r="BH929">
        <v>0</v>
      </c>
      <c r="BI929">
        <v>8</v>
      </c>
      <c r="BJ929">
        <v>0</v>
      </c>
      <c r="BK929">
        <v>0</v>
      </c>
      <c r="BL929">
        <v>0</v>
      </c>
      <c r="BM929">
        <v>0</v>
      </c>
      <c r="BN929">
        <v>424</v>
      </c>
      <c r="BO929">
        <v>67.84</v>
      </c>
      <c r="BP929">
        <v>16.96</v>
      </c>
      <c r="BQ929">
        <f t="shared" si="14"/>
        <v>474.88000000000005</v>
      </c>
      <c r="BR929" t="s">
        <v>119</v>
      </c>
    </row>
    <row r="930" spans="1:70">
      <c r="A930" t="s">
        <v>3797</v>
      </c>
      <c r="B930" t="s">
        <v>3798</v>
      </c>
      <c r="C930" t="s">
        <v>71</v>
      </c>
      <c r="D930" t="s">
        <v>289</v>
      </c>
      <c r="E930" t="s">
        <v>73</v>
      </c>
      <c r="F930" t="s">
        <v>74</v>
      </c>
      <c r="G930">
        <v>242832</v>
      </c>
      <c r="H930" t="s">
        <v>74</v>
      </c>
      <c r="I930" t="s">
        <v>75</v>
      </c>
      <c r="J930" t="s">
        <v>74</v>
      </c>
      <c r="K930" t="s">
        <v>3799</v>
      </c>
      <c r="L930" t="s">
        <v>77</v>
      </c>
      <c r="M930" t="s">
        <v>78</v>
      </c>
      <c r="N930" t="s">
        <v>499</v>
      </c>
      <c r="O930" t="s">
        <v>3800</v>
      </c>
      <c r="P930" t="s">
        <v>284</v>
      </c>
      <c r="V930">
        <v>1</v>
      </c>
      <c r="AF930" t="s">
        <v>295</v>
      </c>
      <c r="AG930" t="s">
        <v>296</v>
      </c>
      <c r="AH930" t="s">
        <v>295</v>
      </c>
      <c r="AJ930">
        <v>0</v>
      </c>
      <c r="AK930">
        <v>0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0.15</v>
      </c>
      <c r="AT930">
        <v>0</v>
      </c>
      <c r="AU930">
        <v>0</v>
      </c>
      <c r="AV930">
        <v>0</v>
      </c>
      <c r="AW930">
        <v>0</v>
      </c>
      <c r="AX930">
        <v>0</v>
      </c>
      <c r="AY930">
        <v>0</v>
      </c>
      <c r="AZ930">
        <v>0</v>
      </c>
      <c r="BA930">
        <v>0</v>
      </c>
      <c r="BB930">
        <v>0</v>
      </c>
      <c r="BC930">
        <v>0</v>
      </c>
      <c r="BD930">
        <v>423.55</v>
      </c>
      <c r="BE930">
        <v>0</v>
      </c>
      <c r="BF930">
        <v>40</v>
      </c>
      <c r="BG930">
        <v>0</v>
      </c>
      <c r="BH930">
        <v>0</v>
      </c>
      <c r="BI930">
        <v>8</v>
      </c>
      <c r="BJ930">
        <v>0</v>
      </c>
      <c r="BK930">
        <v>0</v>
      </c>
      <c r="BL930">
        <v>0</v>
      </c>
      <c r="BM930">
        <v>0</v>
      </c>
      <c r="BN930">
        <v>471.7</v>
      </c>
      <c r="BO930">
        <v>75.47</v>
      </c>
      <c r="BP930">
        <v>18.87</v>
      </c>
      <c r="BQ930">
        <f t="shared" si="14"/>
        <v>528.29999999999995</v>
      </c>
      <c r="BR930" t="s">
        <v>501</v>
      </c>
    </row>
    <row r="931" spans="1:70">
      <c r="A931" t="s">
        <v>3801</v>
      </c>
      <c r="B931" t="s">
        <v>3802</v>
      </c>
      <c r="C931" t="s">
        <v>71</v>
      </c>
      <c r="D931" t="s">
        <v>289</v>
      </c>
      <c r="E931" t="s">
        <v>73</v>
      </c>
      <c r="F931" t="s">
        <v>74</v>
      </c>
      <c r="G931">
        <v>242827</v>
      </c>
      <c r="H931" t="s">
        <v>74</v>
      </c>
      <c r="I931" t="s">
        <v>75</v>
      </c>
      <c r="J931" t="s">
        <v>74</v>
      </c>
      <c r="K931" t="s">
        <v>3803</v>
      </c>
      <c r="L931" t="s">
        <v>77</v>
      </c>
      <c r="M931" t="s">
        <v>78</v>
      </c>
      <c r="N931" t="s">
        <v>312</v>
      </c>
      <c r="O931" t="s">
        <v>1800</v>
      </c>
      <c r="P931" t="s">
        <v>284</v>
      </c>
      <c r="V931">
        <v>1</v>
      </c>
      <c r="AF931" t="s">
        <v>295</v>
      </c>
      <c r="AG931" t="s">
        <v>296</v>
      </c>
      <c r="AH931" t="s">
        <v>295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0.15</v>
      </c>
      <c r="AT931">
        <v>0</v>
      </c>
      <c r="AU931">
        <v>0</v>
      </c>
      <c r="AV931">
        <v>0</v>
      </c>
      <c r="AW931">
        <v>0</v>
      </c>
      <c r="AX931">
        <v>0</v>
      </c>
      <c r="AY931">
        <v>0</v>
      </c>
      <c r="AZ931">
        <v>0</v>
      </c>
      <c r="BA931">
        <v>0</v>
      </c>
      <c r="BB931">
        <v>0</v>
      </c>
      <c r="BC931">
        <v>0</v>
      </c>
      <c r="BD931">
        <v>375.85</v>
      </c>
      <c r="BE931">
        <v>0</v>
      </c>
      <c r="BF931">
        <v>40</v>
      </c>
      <c r="BG931">
        <v>0</v>
      </c>
      <c r="BH931">
        <v>0</v>
      </c>
      <c r="BI931">
        <v>8</v>
      </c>
      <c r="BJ931">
        <v>0</v>
      </c>
      <c r="BK931">
        <v>0</v>
      </c>
      <c r="BL931">
        <v>0</v>
      </c>
      <c r="BM931">
        <v>0</v>
      </c>
      <c r="BN931">
        <v>424</v>
      </c>
      <c r="BO931">
        <v>67.84</v>
      </c>
      <c r="BP931">
        <v>16.96</v>
      </c>
      <c r="BQ931">
        <f t="shared" si="14"/>
        <v>474.88000000000005</v>
      </c>
      <c r="BR931" t="s">
        <v>312</v>
      </c>
    </row>
    <row r="932" spans="1:70">
      <c r="A932" t="s">
        <v>3804</v>
      </c>
      <c r="B932" t="s">
        <v>3805</v>
      </c>
      <c r="C932" t="s">
        <v>71</v>
      </c>
      <c r="D932" t="s">
        <v>289</v>
      </c>
      <c r="E932" t="s">
        <v>73</v>
      </c>
      <c r="F932" t="s">
        <v>74</v>
      </c>
      <c r="G932">
        <v>242826</v>
      </c>
      <c r="H932" t="s">
        <v>74</v>
      </c>
      <c r="I932" t="s">
        <v>75</v>
      </c>
      <c r="J932" t="s">
        <v>74</v>
      </c>
      <c r="K932" t="s">
        <v>3806</v>
      </c>
      <c r="L932" t="s">
        <v>77</v>
      </c>
      <c r="M932" t="s">
        <v>78</v>
      </c>
      <c r="N932" t="s">
        <v>229</v>
      </c>
      <c r="O932" t="s">
        <v>230</v>
      </c>
      <c r="P932" t="s">
        <v>284</v>
      </c>
      <c r="V932">
        <v>1</v>
      </c>
      <c r="AF932" t="s">
        <v>295</v>
      </c>
      <c r="AG932" t="s">
        <v>296</v>
      </c>
      <c r="AH932" t="s">
        <v>295</v>
      </c>
      <c r="AJ932">
        <v>0</v>
      </c>
      <c r="AK932">
        <v>0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0.15</v>
      </c>
      <c r="AT932">
        <v>0</v>
      </c>
      <c r="AU932">
        <v>0</v>
      </c>
      <c r="AV932">
        <v>0</v>
      </c>
      <c r="AW932">
        <v>0</v>
      </c>
      <c r="AX932">
        <v>0</v>
      </c>
      <c r="AY932">
        <v>0</v>
      </c>
      <c r="AZ932">
        <v>0</v>
      </c>
      <c r="BA932">
        <v>0</v>
      </c>
      <c r="BB932">
        <v>0</v>
      </c>
      <c r="BC932">
        <v>0</v>
      </c>
      <c r="BD932">
        <v>423.55</v>
      </c>
      <c r="BE932">
        <v>0</v>
      </c>
      <c r="BF932">
        <v>40</v>
      </c>
      <c r="BG932">
        <v>0</v>
      </c>
      <c r="BH932">
        <v>0</v>
      </c>
      <c r="BI932">
        <v>8</v>
      </c>
      <c r="BJ932">
        <v>0</v>
      </c>
      <c r="BK932">
        <v>0</v>
      </c>
      <c r="BL932">
        <v>0</v>
      </c>
      <c r="BM932">
        <v>0</v>
      </c>
      <c r="BN932">
        <v>471.7</v>
      </c>
      <c r="BO932">
        <v>75.47</v>
      </c>
      <c r="BP932">
        <v>18.87</v>
      </c>
      <c r="BQ932">
        <f t="shared" si="14"/>
        <v>528.29999999999995</v>
      </c>
      <c r="BR932" t="s">
        <v>229</v>
      </c>
    </row>
    <row r="933" spans="1:70">
      <c r="A933" t="s">
        <v>3807</v>
      </c>
      <c r="B933" t="s">
        <v>3808</v>
      </c>
      <c r="C933" t="s">
        <v>71</v>
      </c>
      <c r="D933" t="s">
        <v>289</v>
      </c>
      <c r="E933" t="s">
        <v>73</v>
      </c>
      <c r="F933" t="s">
        <v>74</v>
      </c>
      <c r="G933">
        <v>242823</v>
      </c>
      <c r="H933" t="s">
        <v>74</v>
      </c>
      <c r="I933" t="s">
        <v>75</v>
      </c>
      <c r="J933" t="s">
        <v>74</v>
      </c>
      <c r="K933" t="s">
        <v>3809</v>
      </c>
      <c r="L933" t="s">
        <v>77</v>
      </c>
      <c r="M933" t="s">
        <v>78</v>
      </c>
      <c r="N933" t="s">
        <v>337</v>
      </c>
      <c r="O933" t="s">
        <v>3810</v>
      </c>
      <c r="P933" t="s">
        <v>284</v>
      </c>
      <c r="X933">
        <v>35</v>
      </c>
      <c r="AF933" t="s">
        <v>1941</v>
      </c>
      <c r="AG933" t="s">
        <v>296</v>
      </c>
      <c r="AH933" t="s">
        <v>1941</v>
      </c>
      <c r="AJ933">
        <v>0</v>
      </c>
      <c r="AK933">
        <v>0</v>
      </c>
      <c r="AL933">
        <v>0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5.25</v>
      </c>
      <c r="AT933">
        <v>0</v>
      </c>
      <c r="AU933">
        <v>0</v>
      </c>
      <c r="AV933">
        <v>0</v>
      </c>
      <c r="AW933">
        <v>0</v>
      </c>
      <c r="AX933">
        <v>0</v>
      </c>
      <c r="AY933">
        <v>0</v>
      </c>
      <c r="AZ933">
        <v>0</v>
      </c>
      <c r="BA933">
        <v>0</v>
      </c>
      <c r="BB933">
        <v>0</v>
      </c>
      <c r="BC933">
        <v>0</v>
      </c>
      <c r="BD933">
        <v>1616.65</v>
      </c>
      <c r="BE933">
        <v>0</v>
      </c>
      <c r="BF933">
        <v>1400</v>
      </c>
      <c r="BG933">
        <v>0</v>
      </c>
      <c r="BH933">
        <v>0</v>
      </c>
      <c r="BI933">
        <v>280</v>
      </c>
      <c r="BJ933">
        <v>0</v>
      </c>
      <c r="BK933">
        <v>0</v>
      </c>
      <c r="BL933">
        <v>0</v>
      </c>
      <c r="BM933">
        <v>0</v>
      </c>
      <c r="BN933">
        <v>3301.9</v>
      </c>
      <c r="BO933">
        <v>528.29999999999995</v>
      </c>
      <c r="BP933">
        <v>132.08000000000001</v>
      </c>
      <c r="BQ933">
        <f t="shared" si="14"/>
        <v>3698.12</v>
      </c>
      <c r="BR933" t="s">
        <v>337</v>
      </c>
    </row>
    <row r="934" spans="1:70">
      <c r="A934" t="s">
        <v>3811</v>
      </c>
      <c r="B934" t="s">
        <v>3812</v>
      </c>
      <c r="C934" t="s">
        <v>71</v>
      </c>
      <c r="D934" t="s">
        <v>289</v>
      </c>
      <c r="E934" t="s">
        <v>73</v>
      </c>
      <c r="F934" t="s">
        <v>74</v>
      </c>
      <c r="G934">
        <v>242816</v>
      </c>
      <c r="H934" t="s">
        <v>74</v>
      </c>
      <c r="I934" t="s">
        <v>75</v>
      </c>
      <c r="J934" t="s">
        <v>74</v>
      </c>
      <c r="K934" t="s">
        <v>3813</v>
      </c>
      <c r="L934" t="s">
        <v>77</v>
      </c>
      <c r="M934" t="s">
        <v>78</v>
      </c>
      <c r="N934" t="s">
        <v>653</v>
      </c>
      <c r="O934" t="s">
        <v>654</v>
      </c>
      <c r="P934" t="s">
        <v>284</v>
      </c>
      <c r="X934">
        <v>17</v>
      </c>
      <c r="AF934" t="s">
        <v>464</v>
      </c>
      <c r="AG934" t="s">
        <v>296</v>
      </c>
      <c r="AH934" t="s">
        <v>464</v>
      </c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2.5499999999999998</v>
      </c>
      <c r="AT934">
        <v>0</v>
      </c>
      <c r="AU934">
        <v>0</v>
      </c>
      <c r="AV934">
        <v>0</v>
      </c>
      <c r="AW934">
        <v>0</v>
      </c>
      <c r="AX934">
        <v>0</v>
      </c>
      <c r="AY934">
        <v>0</v>
      </c>
      <c r="AZ934">
        <v>0</v>
      </c>
      <c r="BA934">
        <v>0</v>
      </c>
      <c r="BB934">
        <v>0</v>
      </c>
      <c r="BC934">
        <v>0</v>
      </c>
      <c r="BD934">
        <v>262.64999999999998</v>
      </c>
      <c r="BE934">
        <v>0</v>
      </c>
      <c r="BF934">
        <v>680</v>
      </c>
      <c r="BG934">
        <v>0</v>
      </c>
      <c r="BH934">
        <v>0</v>
      </c>
      <c r="BI934">
        <v>136</v>
      </c>
      <c r="BJ934">
        <v>0</v>
      </c>
      <c r="BK934">
        <v>0</v>
      </c>
      <c r="BL934">
        <v>0</v>
      </c>
      <c r="BM934">
        <v>0</v>
      </c>
      <c r="BN934">
        <v>1081.2</v>
      </c>
      <c r="BO934">
        <v>172.99</v>
      </c>
      <c r="BP934">
        <v>43.25</v>
      </c>
      <c r="BQ934">
        <f t="shared" si="14"/>
        <v>1210.94</v>
      </c>
      <c r="BR934" t="s">
        <v>119</v>
      </c>
    </row>
    <row r="935" spans="1:70">
      <c r="A935" t="s">
        <v>3814</v>
      </c>
      <c r="B935" t="s">
        <v>3815</v>
      </c>
      <c r="C935" t="s">
        <v>71</v>
      </c>
      <c r="D935" t="s">
        <v>289</v>
      </c>
      <c r="E935" t="s">
        <v>73</v>
      </c>
      <c r="F935" t="s">
        <v>74</v>
      </c>
      <c r="G935">
        <v>242808</v>
      </c>
      <c r="H935" t="s">
        <v>74</v>
      </c>
      <c r="I935" t="s">
        <v>75</v>
      </c>
      <c r="J935" t="s">
        <v>74</v>
      </c>
      <c r="K935" t="s">
        <v>3816</v>
      </c>
      <c r="L935" t="s">
        <v>77</v>
      </c>
      <c r="M935" t="s">
        <v>78</v>
      </c>
      <c r="N935" t="s">
        <v>501</v>
      </c>
      <c r="O935" t="s">
        <v>3817</v>
      </c>
      <c r="P935" t="s">
        <v>284</v>
      </c>
      <c r="X935">
        <v>9</v>
      </c>
      <c r="AF935" t="s">
        <v>407</v>
      </c>
      <c r="AG935" t="s">
        <v>296</v>
      </c>
      <c r="AH935" t="s">
        <v>407</v>
      </c>
      <c r="AJ935">
        <v>0</v>
      </c>
      <c r="AK935">
        <v>0</v>
      </c>
      <c r="AL935">
        <v>0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1.35</v>
      </c>
      <c r="AT935">
        <v>0</v>
      </c>
      <c r="AU935">
        <v>0</v>
      </c>
      <c r="AV935">
        <v>0</v>
      </c>
      <c r="AW935">
        <v>0</v>
      </c>
      <c r="AX935">
        <v>0</v>
      </c>
      <c r="AY935">
        <v>0</v>
      </c>
      <c r="AZ935">
        <v>0</v>
      </c>
      <c r="BA935">
        <v>0</v>
      </c>
      <c r="BB935">
        <v>0</v>
      </c>
      <c r="BC935">
        <v>0</v>
      </c>
      <c r="BD935">
        <v>415.71</v>
      </c>
      <c r="BE935">
        <v>0</v>
      </c>
      <c r="BF935">
        <v>360</v>
      </c>
      <c r="BG935">
        <v>0</v>
      </c>
      <c r="BH935">
        <v>0</v>
      </c>
      <c r="BI935">
        <v>72</v>
      </c>
      <c r="BJ935">
        <v>0</v>
      </c>
      <c r="BK935">
        <v>0</v>
      </c>
      <c r="BL935">
        <v>0</v>
      </c>
      <c r="BM935">
        <v>0</v>
      </c>
      <c r="BN935">
        <v>849.06</v>
      </c>
      <c r="BO935">
        <v>135.85</v>
      </c>
      <c r="BP935">
        <v>33.96</v>
      </c>
      <c r="BQ935">
        <f t="shared" si="14"/>
        <v>950.94999999999993</v>
      </c>
      <c r="BR935" t="s">
        <v>501</v>
      </c>
    </row>
    <row r="936" spans="1:70">
      <c r="A936" t="s">
        <v>3818</v>
      </c>
      <c r="B936" t="s">
        <v>3819</v>
      </c>
      <c r="C936" t="s">
        <v>71</v>
      </c>
      <c r="D936" t="s">
        <v>289</v>
      </c>
      <c r="E936" t="s">
        <v>73</v>
      </c>
      <c r="F936" t="s">
        <v>74</v>
      </c>
      <c r="G936">
        <v>242805</v>
      </c>
      <c r="H936" t="s">
        <v>74</v>
      </c>
      <c r="I936" t="s">
        <v>75</v>
      </c>
      <c r="J936" t="s">
        <v>74</v>
      </c>
      <c r="K936" t="s">
        <v>3820</v>
      </c>
      <c r="L936" t="s">
        <v>77</v>
      </c>
      <c r="M936" t="s">
        <v>78</v>
      </c>
      <c r="N936" t="s">
        <v>83</v>
      </c>
      <c r="O936" t="s">
        <v>3735</v>
      </c>
      <c r="P936" t="s">
        <v>284</v>
      </c>
      <c r="Z936">
        <v>2</v>
      </c>
      <c r="AF936" t="s">
        <v>339</v>
      </c>
      <c r="AG936" t="s">
        <v>296</v>
      </c>
      <c r="AH936" t="s">
        <v>339</v>
      </c>
      <c r="AJ936">
        <v>0</v>
      </c>
      <c r="AK936">
        <v>0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0.3</v>
      </c>
      <c r="AT936">
        <v>0</v>
      </c>
      <c r="AU936">
        <v>0</v>
      </c>
      <c r="AV936">
        <v>0</v>
      </c>
      <c r="AW936">
        <v>0</v>
      </c>
      <c r="AX936">
        <v>0</v>
      </c>
      <c r="AY936">
        <v>0</v>
      </c>
      <c r="AZ936">
        <v>0</v>
      </c>
      <c r="BA936">
        <v>0</v>
      </c>
      <c r="BB936">
        <v>0</v>
      </c>
      <c r="BC936">
        <v>0</v>
      </c>
      <c r="BD936">
        <v>327.7</v>
      </c>
      <c r="BE936">
        <v>0</v>
      </c>
      <c r="BF936">
        <v>80</v>
      </c>
      <c r="BG936">
        <v>0</v>
      </c>
      <c r="BH936">
        <v>0</v>
      </c>
      <c r="BI936">
        <v>16</v>
      </c>
      <c r="BJ936">
        <v>0</v>
      </c>
      <c r="BK936">
        <v>0</v>
      </c>
      <c r="BL936">
        <v>0</v>
      </c>
      <c r="BM936">
        <v>0</v>
      </c>
      <c r="BN936">
        <v>424</v>
      </c>
      <c r="BO936">
        <v>67.84</v>
      </c>
      <c r="BP936">
        <v>16.96</v>
      </c>
      <c r="BQ936">
        <f t="shared" si="14"/>
        <v>474.88000000000005</v>
      </c>
      <c r="BR936" t="s">
        <v>83</v>
      </c>
    </row>
    <row r="937" spans="1:70">
      <c r="A937" t="s">
        <v>3821</v>
      </c>
      <c r="B937" t="s">
        <v>3822</v>
      </c>
      <c r="C937" t="s">
        <v>71</v>
      </c>
      <c r="D937" t="s">
        <v>289</v>
      </c>
      <c r="E937" t="s">
        <v>73</v>
      </c>
      <c r="F937" t="s">
        <v>74</v>
      </c>
      <c r="G937">
        <v>242806</v>
      </c>
      <c r="H937" t="s">
        <v>74</v>
      </c>
      <c r="I937" t="s">
        <v>75</v>
      </c>
      <c r="J937" t="s">
        <v>74</v>
      </c>
      <c r="K937" t="s">
        <v>3823</v>
      </c>
      <c r="L937" t="s">
        <v>77</v>
      </c>
      <c r="M937" t="s">
        <v>78</v>
      </c>
      <c r="N937" t="s">
        <v>438</v>
      </c>
      <c r="O937" t="s">
        <v>3824</v>
      </c>
      <c r="P937" t="s">
        <v>284</v>
      </c>
      <c r="X937">
        <v>12</v>
      </c>
      <c r="AF937" t="s">
        <v>379</v>
      </c>
      <c r="AG937" t="s">
        <v>296</v>
      </c>
      <c r="AH937" t="s">
        <v>379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1.8</v>
      </c>
      <c r="AT937">
        <v>0</v>
      </c>
      <c r="AU937">
        <v>0</v>
      </c>
      <c r="AV937">
        <v>0</v>
      </c>
      <c r="AW937">
        <v>0</v>
      </c>
      <c r="AX937">
        <v>0</v>
      </c>
      <c r="AY937">
        <v>0</v>
      </c>
      <c r="AZ937">
        <v>0</v>
      </c>
      <c r="BA937">
        <v>0</v>
      </c>
      <c r="BB937">
        <v>0</v>
      </c>
      <c r="BC937">
        <v>0</v>
      </c>
      <c r="BD937">
        <v>185.4</v>
      </c>
      <c r="BE937">
        <v>0</v>
      </c>
      <c r="BF937">
        <v>480</v>
      </c>
      <c r="BG937">
        <v>0</v>
      </c>
      <c r="BH937">
        <v>0</v>
      </c>
      <c r="BI937">
        <v>96</v>
      </c>
      <c r="BJ937">
        <v>0</v>
      </c>
      <c r="BK937">
        <v>0</v>
      </c>
      <c r="BL937">
        <v>0</v>
      </c>
      <c r="BM937">
        <v>0</v>
      </c>
      <c r="BN937">
        <v>763.2</v>
      </c>
      <c r="BO937">
        <v>122.11</v>
      </c>
      <c r="BP937">
        <v>30.53</v>
      </c>
      <c r="BQ937">
        <f t="shared" si="14"/>
        <v>854.78000000000009</v>
      </c>
      <c r="BR937" t="s">
        <v>440</v>
      </c>
    </row>
    <row r="938" spans="1:70">
      <c r="A938" t="s">
        <v>3825</v>
      </c>
      <c r="B938" t="s">
        <v>3826</v>
      </c>
      <c r="C938" t="s">
        <v>71</v>
      </c>
      <c r="D938" t="s">
        <v>289</v>
      </c>
      <c r="E938" t="s">
        <v>73</v>
      </c>
      <c r="F938" t="s">
        <v>74</v>
      </c>
      <c r="G938">
        <v>242798</v>
      </c>
      <c r="H938" t="s">
        <v>74</v>
      </c>
      <c r="I938" t="s">
        <v>75</v>
      </c>
      <c r="J938" t="s">
        <v>74</v>
      </c>
      <c r="K938" t="s">
        <v>3827</v>
      </c>
      <c r="L938" t="s">
        <v>77</v>
      </c>
      <c r="M938" t="s">
        <v>78</v>
      </c>
      <c r="N938" t="s">
        <v>866</v>
      </c>
      <c r="O938" t="s">
        <v>867</v>
      </c>
      <c r="P938" t="s">
        <v>284</v>
      </c>
      <c r="AD938">
        <v>4</v>
      </c>
      <c r="AF938" t="s">
        <v>326</v>
      </c>
      <c r="AG938" t="s">
        <v>296</v>
      </c>
      <c r="AH938" t="s">
        <v>326</v>
      </c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0.6</v>
      </c>
      <c r="AT938">
        <v>0</v>
      </c>
      <c r="AU938">
        <v>0</v>
      </c>
      <c r="AV938">
        <v>105.16</v>
      </c>
      <c r="AW938">
        <v>0</v>
      </c>
      <c r="AX938">
        <v>0</v>
      </c>
      <c r="AY938">
        <v>0</v>
      </c>
      <c r="AZ938">
        <v>0</v>
      </c>
      <c r="BA938">
        <v>0</v>
      </c>
      <c r="BB938">
        <v>0</v>
      </c>
      <c r="BC938">
        <v>0</v>
      </c>
      <c r="BD938">
        <v>279.12</v>
      </c>
      <c r="BE938">
        <v>0</v>
      </c>
      <c r="BF938">
        <v>160</v>
      </c>
      <c r="BG938">
        <v>0</v>
      </c>
      <c r="BH938">
        <v>0</v>
      </c>
      <c r="BI938">
        <v>32</v>
      </c>
      <c r="BJ938">
        <v>0</v>
      </c>
      <c r="BK938">
        <v>0</v>
      </c>
      <c r="BL938">
        <v>0</v>
      </c>
      <c r="BM938">
        <v>0</v>
      </c>
      <c r="BN938">
        <v>576.88</v>
      </c>
      <c r="BO938">
        <v>92.31</v>
      </c>
      <c r="BP938">
        <v>18.86</v>
      </c>
      <c r="BQ938">
        <f t="shared" si="14"/>
        <v>650.33000000000004</v>
      </c>
      <c r="BR938" t="s">
        <v>866</v>
      </c>
    </row>
    <row r="939" spans="1:70">
      <c r="A939" t="s">
        <v>3828</v>
      </c>
      <c r="B939" t="s">
        <v>3829</v>
      </c>
      <c r="C939" t="s">
        <v>71</v>
      </c>
      <c r="D939" t="s">
        <v>289</v>
      </c>
      <c r="E939" t="s">
        <v>73</v>
      </c>
      <c r="F939" t="s">
        <v>74</v>
      </c>
      <c r="G939">
        <v>242795</v>
      </c>
      <c r="H939" t="s">
        <v>74</v>
      </c>
      <c r="I939" t="s">
        <v>75</v>
      </c>
      <c r="K939" t="s">
        <v>3830</v>
      </c>
      <c r="L939" t="s">
        <v>77</v>
      </c>
      <c r="M939" t="s">
        <v>78</v>
      </c>
      <c r="N939" t="s">
        <v>137</v>
      </c>
      <c r="O939" t="s">
        <v>1220</v>
      </c>
      <c r="P939" t="s">
        <v>284</v>
      </c>
      <c r="X939">
        <v>17</v>
      </c>
      <c r="AF939" t="s">
        <v>464</v>
      </c>
      <c r="AG939" t="s">
        <v>296</v>
      </c>
      <c r="AH939" t="s">
        <v>464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2.5499999999999998</v>
      </c>
      <c r="AT939">
        <v>0</v>
      </c>
      <c r="AU939">
        <v>0</v>
      </c>
      <c r="AV939">
        <v>0</v>
      </c>
      <c r="AW939">
        <v>0</v>
      </c>
      <c r="AX939">
        <v>0</v>
      </c>
      <c r="AY939">
        <v>0</v>
      </c>
      <c r="AZ939">
        <v>0</v>
      </c>
      <c r="BA939">
        <v>0</v>
      </c>
      <c r="BB939">
        <v>0</v>
      </c>
      <c r="BC939">
        <v>0</v>
      </c>
      <c r="BD939">
        <v>785.23</v>
      </c>
      <c r="BE939">
        <v>0</v>
      </c>
      <c r="BF939">
        <v>680</v>
      </c>
      <c r="BG939">
        <v>0</v>
      </c>
      <c r="BH939">
        <v>0</v>
      </c>
      <c r="BI939">
        <v>136</v>
      </c>
      <c r="BJ939">
        <v>0</v>
      </c>
      <c r="BK939">
        <v>0</v>
      </c>
      <c r="BL939">
        <v>0</v>
      </c>
      <c r="BM939">
        <v>0</v>
      </c>
      <c r="BN939">
        <v>1603.78</v>
      </c>
      <c r="BO939">
        <v>256.61</v>
      </c>
      <c r="BP939">
        <v>64.150000000000006</v>
      </c>
      <c r="BQ939">
        <f t="shared" si="14"/>
        <v>1796.2399999999998</v>
      </c>
      <c r="BR939" t="s">
        <v>141</v>
      </c>
    </row>
    <row r="940" spans="1:70">
      <c r="A940" t="s">
        <v>3831</v>
      </c>
      <c r="B940" t="s">
        <v>3832</v>
      </c>
      <c r="C940" t="s">
        <v>71</v>
      </c>
      <c r="D940" t="s">
        <v>289</v>
      </c>
      <c r="E940" t="s">
        <v>73</v>
      </c>
      <c r="F940" t="s">
        <v>74</v>
      </c>
      <c r="G940">
        <v>242857</v>
      </c>
      <c r="H940" t="s">
        <v>74</v>
      </c>
      <c r="I940" t="s">
        <v>75</v>
      </c>
      <c r="J940" t="s">
        <v>74</v>
      </c>
      <c r="K940" t="s">
        <v>3833</v>
      </c>
      <c r="L940" t="s">
        <v>77</v>
      </c>
      <c r="M940" t="s">
        <v>78</v>
      </c>
      <c r="N940" t="s">
        <v>406</v>
      </c>
      <c r="O940" t="s">
        <v>2306</v>
      </c>
      <c r="P940" t="s">
        <v>284</v>
      </c>
      <c r="X940">
        <v>15</v>
      </c>
      <c r="AF940" t="s">
        <v>235</v>
      </c>
      <c r="AG940" t="s">
        <v>296</v>
      </c>
      <c r="AH940" t="s">
        <v>235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2.25</v>
      </c>
      <c r="AT940">
        <v>0</v>
      </c>
      <c r="AU940">
        <v>0</v>
      </c>
      <c r="AV940">
        <v>0</v>
      </c>
      <c r="AW940">
        <v>0</v>
      </c>
      <c r="AX940">
        <v>0</v>
      </c>
      <c r="AY940">
        <v>0</v>
      </c>
      <c r="AZ940">
        <v>0</v>
      </c>
      <c r="BA940">
        <v>0</v>
      </c>
      <c r="BB940">
        <v>0</v>
      </c>
      <c r="BC940">
        <v>0</v>
      </c>
      <c r="BD940">
        <v>231.75</v>
      </c>
      <c r="BE940">
        <v>0</v>
      </c>
      <c r="BF940">
        <v>600</v>
      </c>
      <c r="BG940">
        <v>0</v>
      </c>
      <c r="BH940">
        <v>0</v>
      </c>
      <c r="BI940">
        <v>120</v>
      </c>
      <c r="BJ940">
        <v>0</v>
      </c>
      <c r="BK940">
        <v>0</v>
      </c>
      <c r="BL940">
        <v>0</v>
      </c>
      <c r="BM940">
        <v>0</v>
      </c>
      <c r="BN940">
        <v>954</v>
      </c>
      <c r="BO940">
        <v>152.63999999999999</v>
      </c>
      <c r="BP940">
        <v>38.159999999999997</v>
      </c>
      <c r="BQ940">
        <f t="shared" si="14"/>
        <v>1068.4799999999998</v>
      </c>
      <c r="BR940" t="s">
        <v>406</v>
      </c>
    </row>
    <row r="941" spans="1:70">
      <c r="A941" t="s">
        <v>3834</v>
      </c>
      <c r="B941" t="s">
        <v>3835</v>
      </c>
      <c r="C941" t="s">
        <v>71</v>
      </c>
      <c r="D941" t="s">
        <v>289</v>
      </c>
      <c r="E941" t="s">
        <v>73</v>
      </c>
      <c r="F941" t="s">
        <v>74</v>
      </c>
      <c r="G941">
        <v>242843</v>
      </c>
      <c r="H941" t="s">
        <v>74</v>
      </c>
      <c r="I941" t="s">
        <v>75</v>
      </c>
      <c r="J941" t="s">
        <v>74</v>
      </c>
      <c r="K941" t="s">
        <v>3836</v>
      </c>
      <c r="L941" t="s">
        <v>77</v>
      </c>
      <c r="M941" t="s">
        <v>78</v>
      </c>
      <c r="N941" t="s">
        <v>964</v>
      </c>
      <c r="O941" t="s">
        <v>1050</v>
      </c>
      <c r="P941" t="s">
        <v>284</v>
      </c>
      <c r="AB941">
        <v>3</v>
      </c>
      <c r="AF941" t="s">
        <v>314</v>
      </c>
      <c r="AG941" t="s">
        <v>296</v>
      </c>
      <c r="AH941" t="s">
        <v>314</v>
      </c>
      <c r="AJ941">
        <v>0</v>
      </c>
      <c r="AK941">
        <v>0</v>
      </c>
      <c r="AL941">
        <v>0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0.45</v>
      </c>
      <c r="AT941">
        <v>0</v>
      </c>
      <c r="AU941">
        <v>0</v>
      </c>
      <c r="AV941">
        <v>0</v>
      </c>
      <c r="AW941">
        <v>0</v>
      </c>
      <c r="AX941">
        <v>0</v>
      </c>
      <c r="AY941">
        <v>0</v>
      </c>
      <c r="AZ941">
        <v>0</v>
      </c>
      <c r="BA941">
        <v>0</v>
      </c>
      <c r="BB941">
        <v>0</v>
      </c>
      <c r="BC941">
        <v>0</v>
      </c>
      <c r="BD941">
        <v>327.24</v>
      </c>
      <c r="BE941">
        <v>0</v>
      </c>
      <c r="BF941">
        <v>120</v>
      </c>
      <c r="BG941">
        <v>0</v>
      </c>
      <c r="BH941">
        <v>0</v>
      </c>
      <c r="BI941">
        <v>24</v>
      </c>
      <c r="BJ941">
        <v>0</v>
      </c>
      <c r="BK941">
        <v>0</v>
      </c>
      <c r="BL941">
        <v>0</v>
      </c>
      <c r="BM941">
        <v>0</v>
      </c>
      <c r="BN941">
        <v>471.69</v>
      </c>
      <c r="BO941">
        <v>75.47</v>
      </c>
      <c r="BP941">
        <v>18.87</v>
      </c>
      <c r="BQ941">
        <f t="shared" si="14"/>
        <v>528.29</v>
      </c>
      <c r="BR941" t="s">
        <v>964</v>
      </c>
    </row>
    <row r="942" spans="1:70">
      <c r="A942" t="s">
        <v>3837</v>
      </c>
      <c r="B942" t="s">
        <v>3838</v>
      </c>
      <c r="C942" t="s">
        <v>71</v>
      </c>
      <c r="D942" t="s">
        <v>3839</v>
      </c>
      <c r="E942" t="s">
        <v>73</v>
      </c>
      <c r="F942" t="s">
        <v>74</v>
      </c>
      <c r="G942" t="s">
        <v>3840</v>
      </c>
      <c r="H942" t="s">
        <v>3841</v>
      </c>
      <c r="I942" t="s">
        <v>74</v>
      </c>
      <c r="J942" t="s">
        <v>74</v>
      </c>
      <c r="K942" t="s">
        <v>91</v>
      </c>
      <c r="L942" t="s">
        <v>83</v>
      </c>
      <c r="M942" t="s">
        <v>78</v>
      </c>
      <c r="N942" t="s">
        <v>83</v>
      </c>
      <c r="O942" t="s">
        <v>837</v>
      </c>
      <c r="P942" t="s">
        <v>894</v>
      </c>
      <c r="Q942" t="s">
        <v>110</v>
      </c>
      <c r="R942" t="s">
        <v>3842</v>
      </c>
      <c r="S942" t="s">
        <v>285</v>
      </c>
      <c r="AF942" t="s">
        <v>1890</v>
      </c>
      <c r="AG942" t="s">
        <v>296</v>
      </c>
      <c r="AH942" t="s">
        <v>1890</v>
      </c>
      <c r="AJ942">
        <v>0</v>
      </c>
      <c r="AK942">
        <v>0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v>0</v>
      </c>
      <c r="AU942">
        <v>0</v>
      </c>
      <c r="AV942">
        <v>0</v>
      </c>
      <c r="AW942">
        <v>0</v>
      </c>
      <c r="AX942">
        <v>0</v>
      </c>
      <c r="AY942">
        <v>0</v>
      </c>
      <c r="AZ942">
        <v>0</v>
      </c>
      <c r="BA942">
        <v>0</v>
      </c>
      <c r="BB942">
        <v>0</v>
      </c>
      <c r="BC942">
        <v>0</v>
      </c>
      <c r="BD942">
        <v>0</v>
      </c>
      <c r="BE942">
        <v>4320</v>
      </c>
      <c r="BF942">
        <v>0</v>
      </c>
      <c r="BG942">
        <v>0</v>
      </c>
      <c r="BH942">
        <v>0</v>
      </c>
      <c r="BI942">
        <v>0</v>
      </c>
      <c r="BJ942">
        <v>0</v>
      </c>
      <c r="BK942">
        <v>0</v>
      </c>
      <c r="BL942">
        <v>0</v>
      </c>
      <c r="BM942">
        <v>0</v>
      </c>
      <c r="BN942">
        <v>4320</v>
      </c>
      <c r="BO942">
        <v>691.2</v>
      </c>
      <c r="BP942">
        <v>0</v>
      </c>
      <c r="BQ942">
        <f t="shared" si="14"/>
        <v>5011.2</v>
      </c>
      <c r="BR942" t="s">
        <v>83</v>
      </c>
    </row>
    <row r="943" spans="1:70">
      <c r="A943" t="s">
        <v>3843</v>
      </c>
      <c r="B943" t="s">
        <v>3844</v>
      </c>
      <c r="C943" t="s">
        <v>71</v>
      </c>
      <c r="D943" t="s">
        <v>3839</v>
      </c>
      <c r="E943" t="s">
        <v>73</v>
      </c>
      <c r="F943" t="s">
        <v>74</v>
      </c>
      <c r="G943" t="s">
        <v>3845</v>
      </c>
      <c r="H943" t="s">
        <v>3846</v>
      </c>
      <c r="I943" t="s">
        <v>3847</v>
      </c>
      <c r="J943" t="s">
        <v>74</v>
      </c>
      <c r="K943" t="s">
        <v>91</v>
      </c>
      <c r="L943" t="s">
        <v>83</v>
      </c>
      <c r="M943" t="s">
        <v>78</v>
      </c>
      <c r="N943" t="s">
        <v>83</v>
      </c>
      <c r="O943" t="s">
        <v>716</v>
      </c>
      <c r="P943" t="s">
        <v>108</v>
      </c>
      <c r="Q943" t="s">
        <v>3848</v>
      </c>
      <c r="R943" t="s">
        <v>99</v>
      </c>
      <c r="S943" t="s">
        <v>285</v>
      </c>
      <c r="AF943" t="s">
        <v>1890</v>
      </c>
      <c r="AG943" t="s">
        <v>296</v>
      </c>
      <c r="AH943" t="s">
        <v>1890</v>
      </c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v>0</v>
      </c>
      <c r="AU943">
        <v>0</v>
      </c>
      <c r="AV943">
        <v>0</v>
      </c>
      <c r="AW943">
        <v>0</v>
      </c>
      <c r="AX943">
        <v>0</v>
      </c>
      <c r="AY943">
        <v>0</v>
      </c>
      <c r="AZ943">
        <v>0</v>
      </c>
      <c r="BA943">
        <v>0</v>
      </c>
      <c r="BB943">
        <v>0</v>
      </c>
      <c r="BC943">
        <v>0</v>
      </c>
      <c r="BD943">
        <v>0</v>
      </c>
      <c r="BE943">
        <v>2160</v>
      </c>
      <c r="BF943">
        <v>0</v>
      </c>
      <c r="BG943">
        <v>0</v>
      </c>
      <c r="BH943">
        <v>0</v>
      </c>
      <c r="BI943">
        <v>0</v>
      </c>
      <c r="BJ943">
        <v>0</v>
      </c>
      <c r="BK943">
        <v>0</v>
      </c>
      <c r="BL943">
        <v>0</v>
      </c>
      <c r="BM943">
        <v>0</v>
      </c>
      <c r="BN943">
        <v>2160</v>
      </c>
      <c r="BO943">
        <v>345.6</v>
      </c>
      <c r="BP943">
        <v>0</v>
      </c>
      <c r="BQ943">
        <f t="shared" si="14"/>
        <v>2505.6</v>
      </c>
      <c r="BR943" t="s">
        <v>83</v>
      </c>
    </row>
    <row r="944" spans="1:70">
      <c r="A944" t="s">
        <v>3849</v>
      </c>
      <c r="B944" t="s">
        <v>3850</v>
      </c>
      <c r="C944" t="s">
        <v>71</v>
      </c>
      <c r="D944" t="s">
        <v>3839</v>
      </c>
      <c r="E944" t="s">
        <v>73</v>
      </c>
      <c r="F944" t="s">
        <v>565</v>
      </c>
      <c r="G944" t="s">
        <v>3851</v>
      </c>
      <c r="H944" t="s">
        <v>74</v>
      </c>
      <c r="I944" t="s">
        <v>75</v>
      </c>
      <c r="J944" t="s">
        <v>74</v>
      </c>
      <c r="K944" t="s">
        <v>2209</v>
      </c>
      <c r="L944" t="s">
        <v>2033</v>
      </c>
      <c r="M944" t="s">
        <v>78</v>
      </c>
      <c r="N944" t="s">
        <v>2033</v>
      </c>
      <c r="O944" t="s">
        <v>3852</v>
      </c>
      <c r="P944" t="s">
        <v>1229</v>
      </c>
      <c r="Q944" t="s">
        <v>3854</v>
      </c>
      <c r="R944" t="s">
        <v>99</v>
      </c>
      <c r="S944" t="s">
        <v>3853</v>
      </c>
      <c r="AF944" t="s">
        <v>1890</v>
      </c>
      <c r="AG944" t="s">
        <v>296</v>
      </c>
      <c r="AH944" t="s">
        <v>1890</v>
      </c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v>0</v>
      </c>
      <c r="AU944">
        <v>0</v>
      </c>
      <c r="AV944">
        <v>0</v>
      </c>
      <c r="AW944">
        <v>0</v>
      </c>
      <c r="AX944">
        <v>0</v>
      </c>
      <c r="AY944">
        <v>0</v>
      </c>
      <c r="AZ944">
        <v>0</v>
      </c>
      <c r="BA944">
        <v>0</v>
      </c>
      <c r="BB944">
        <v>0</v>
      </c>
      <c r="BC944">
        <v>0</v>
      </c>
      <c r="BD944">
        <v>0</v>
      </c>
      <c r="BE944">
        <v>0</v>
      </c>
      <c r="BF944">
        <v>0</v>
      </c>
      <c r="BG944">
        <v>0</v>
      </c>
      <c r="BH944">
        <v>0</v>
      </c>
      <c r="BI944">
        <v>0</v>
      </c>
      <c r="BJ944">
        <v>0</v>
      </c>
      <c r="BK944">
        <v>0</v>
      </c>
      <c r="BL944">
        <v>0</v>
      </c>
      <c r="BM944">
        <v>450</v>
      </c>
      <c r="BN944">
        <v>450</v>
      </c>
      <c r="BO944">
        <v>72</v>
      </c>
      <c r="BP944">
        <v>0</v>
      </c>
      <c r="BQ944">
        <f t="shared" si="14"/>
        <v>522</v>
      </c>
      <c r="BR944" t="s">
        <v>332</v>
      </c>
    </row>
    <row r="945" spans="1:70">
      <c r="A945" t="s">
        <v>3855</v>
      </c>
      <c r="B945" t="s">
        <v>3856</v>
      </c>
      <c r="C945" t="s">
        <v>71</v>
      </c>
      <c r="D945" t="s">
        <v>3839</v>
      </c>
      <c r="E945" t="s">
        <v>73</v>
      </c>
      <c r="F945" t="s">
        <v>74</v>
      </c>
      <c r="G945" t="s">
        <v>74</v>
      </c>
      <c r="H945" t="s">
        <v>74</v>
      </c>
      <c r="I945" t="s">
        <v>75</v>
      </c>
      <c r="J945" t="s">
        <v>74</v>
      </c>
      <c r="K945">
        <v>16072026</v>
      </c>
      <c r="L945" t="s">
        <v>324</v>
      </c>
      <c r="M945" t="s">
        <v>151</v>
      </c>
      <c r="N945" t="s">
        <v>324</v>
      </c>
      <c r="O945" t="s">
        <v>3857</v>
      </c>
      <c r="P945" t="s">
        <v>152</v>
      </c>
      <c r="Q945" t="s">
        <v>3859</v>
      </c>
      <c r="R945" t="s">
        <v>99</v>
      </c>
      <c r="S945" t="s">
        <v>3858</v>
      </c>
      <c r="AF945" t="s">
        <v>1890</v>
      </c>
      <c r="AG945" t="s">
        <v>296</v>
      </c>
      <c r="AH945" t="s">
        <v>1890</v>
      </c>
      <c r="AJ945">
        <v>0</v>
      </c>
      <c r="AK945">
        <v>0</v>
      </c>
      <c r="AL945">
        <v>0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v>0</v>
      </c>
      <c r="AU945">
        <v>0</v>
      </c>
      <c r="AV945">
        <v>0</v>
      </c>
      <c r="AW945">
        <v>0</v>
      </c>
      <c r="AX945">
        <v>0</v>
      </c>
      <c r="AY945">
        <v>0</v>
      </c>
      <c r="AZ945">
        <v>0</v>
      </c>
      <c r="BA945">
        <v>0</v>
      </c>
      <c r="BB945">
        <v>0</v>
      </c>
      <c r="BC945">
        <v>0</v>
      </c>
      <c r="BD945">
        <v>0</v>
      </c>
      <c r="BE945">
        <v>0</v>
      </c>
      <c r="BF945">
        <v>0</v>
      </c>
      <c r="BG945">
        <v>0</v>
      </c>
      <c r="BH945">
        <v>0</v>
      </c>
      <c r="BI945">
        <v>0</v>
      </c>
      <c r="BJ945">
        <v>0</v>
      </c>
      <c r="BK945">
        <v>0</v>
      </c>
      <c r="BL945">
        <v>0</v>
      </c>
      <c r="BM945">
        <v>800</v>
      </c>
      <c r="BN945">
        <v>800</v>
      </c>
      <c r="BO945">
        <v>128</v>
      </c>
      <c r="BP945">
        <v>0</v>
      </c>
      <c r="BQ945">
        <f t="shared" si="14"/>
        <v>928</v>
      </c>
      <c r="BR945" t="s">
        <v>324</v>
      </c>
    </row>
    <row r="946" spans="1:70">
      <c r="A946" t="s">
        <v>3860</v>
      </c>
      <c r="B946" t="s">
        <v>3861</v>
      </c>
      <c r="C946" t="s">
        <v>71</v>
      </c>
      <c r="D946" t="s">
        <v>3839</v>
      </c>
      <c r="E946" t="s">
        <v>73</v>
      </c>
      <c r="F946" t="s">
        <v>74</v>
      </c>
      <c r="G946" t="s">
        <v>74</v>
      </c>
      <c r="H946" t="s">
        <v>74</v>
      </c>
      <c r="I946" t="s">
        <v>75</v>
      </c>
      <c r="J946" t="s">
        <v>74</v>
      </c>
      <c r="K946" t="s">
        <v>2209</v>
      </c>
      <c r="L946" t="s">
        <v>203</v>
      </c>
      <c r="M946" t="s">
        <v>78</v>
      </c>
      <c r="N946" t="s">
        <v>203</v>
      </c>
      <c r="O946" t="s">
        <v>3862</v>
      </c>
      <c r="P946" t="s">
        <v>1782</v>
      </c>
      <c r="Q946" t="s">
        <v>110</v>
      </c>
      <c r="R946" t="s">
        <v>99</v>
      </c>
      <c r="S946" t="s">
        <v>285</v>
      </c>
      <c r="AF946" t="s">
        <v>295</v>
      </c>
      <c r="AG946" t="s">
        <v>296</v>
      </c>
      <c r="AH946" t="s">
        <v>295</v>
      </c>
      <c r="AJ946">
        <v>0</v>
      </c>
      <c r="AK946">
        <v>0</v>
      </c>
      <c r="AL946">
        <v>0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v>0</v>
      </c>
      <c r="AU946">
        <v>0</v>
      </c>
      <c r="AV946">
        <v>0</v>
      </c>
      <c r="AW946">
        <v>0</v>
      </c>
      <c r="AX946">
        <v>0</v>
      </c>
      <c r="AY946">
        <v>0</v>
      </c>
      <c r="AZ946">
        <v>0</v>
      </c>
      <c r="BA946">
        <v>0</v>
      </c>
      <c r="BB946">
        <v>0</v>
      </c>
      <c r="BC946">
        <v>0</v>
      </c>
      <c r="BD946">
        <v>0</v>
      </c>
      <c r="BE946">
        <v>0</v>
      </c>
      <c r="BF946">
        <v>108</v>
      </c>
      <c r="BG946">
        <v>0</v>
      </c>
      <c r="BH946">
        <v>0</v>
      </c>
      <c r="BI946">
        <v>0</v>
      </c>
      <c r="BJ946">
        <v>0</v>
      </c>
      <c r="BK946">
        <v>0</v>
      </c>
      <c r="BL946">
        <v>0</v>
      </c>
      <c r="BM946">
        <v>0</v>
      </c>
      <c r="BN946">
        <v>108</v>
      </c>
      <c r="BO946">
        <v>17.28</v>
      </c>
      <c r="BP946">
        <v>4.32</v>
      </c>
      <c r="BQ946">
        <f t="shared" si="14"/>
        <v>120.96000000000001</v>
      </c>
      <c r="BR946" t="s">
        <v>203</v>
      </c>
    </row>
    <row r="947" spans="1:70">
      <c r="A947" t="s">
        <v>3863</v>
      </c>
      <c r="B947" t="s">
        <v>3864</v>
      </c>
      <c r="C947" t="s">
        <v>71</v>
      </c>
      <c r="D947" t="s">
        <v>3839</v>
      </c>
      <c r="E947" t="s">
        <v>73</v>
      </c>
      <c r="F947" t="s">
        <v>1660</v>
      </c>
      <c r="G947" t="s">
        <v>3865</v>
      </c>
      <c r="H947" t="s">
        <v>1660</v>
      </c>
      <c r="I947" t="s">
        <v>75</v>
      </c>
      <c r="J947" t="s">
        <v>74</v>
      </c>
      <c r="K947" t="s">
        <v>2209</v>
      </c>
      <c r="L947" t="s">
        <v>2033</v>
      </c>
      <c r="M947" t="s">
        <v>78</v>
      </c>
      <c r="N947" t="s">
        <v>2033</v>
      </c>
      <c r="O947" t="s">
        <v>568</v>
      </c>
      <c r="P947" t="s">
        <v>2152</v>
      </c>
      <c r="Q947" t="s">
        <v>3867</v>
      </c>
      <c r="R947" t="s">
        <v>99</v>
      </c>
      <c r="S947" t="s">
        <v>3866</v>
      </c>
      <c r="AF947" t="s">
        <v>1890</v>
      </c>
      <c r="AG947" t="s">
        <v>296</v>
      </c>
      <c r="AH947" t="s">
        <v>1890</v>
      </c>
      <c r="AJ947">
        <v>0</v>
      </c>
      <c r="AK947">
        <v>0</v>
      </c>
      <c r="AL947">
        <v>0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v>0</v>
      </c>
      <c r="AU947">
        <v>0</v>
      </c>
      <c r="AV947">
        <v>0</v>
      </c>
      <c r="AW947">
        <v>0</v>
      </c>
      <c r="AX947">
        <v>0</v>
      </c>
      <c r="AY947">
        <v>0</v>
      </c>
      <c r="AZ947">
        <v>0</v>
      </c>
      <c r="BA947">
        <v>0</v>
      </c>
      <c r="BB947">
        <v>0</v>
      </c>
      <c r="BC947">
        <v>0</v>
      </c>
      <c r="BD947">
        <v>0</v>
      </c>
      <c r="BE947">
        <v>0</v>
      </c>
      <c r="BF947">
        <v>0</v>
      </c>
      <c r="BG947">
        <v>0</v>
      </c>
      <c r="BH947">
        <v>0</v>
      </c>
      <c r="BI947">
        <v>0</v>
      </c>
      <c r="BJ947">
        <v>0</v>
      </c>
      <c r="BK947">
        <v>0</v>
      </c>
      <c r="BL947">
        <v>0</v>
      </c>
      <c r="BM947">
        <v>450</v>
      </c>
      <c r="BN947">
        <v>450</v>
      </c>
      <c r="BO947">
        <v>72</v>
      </c>
      <c r="BP947">
        <v>0</v>
      </c>
      <c r="BQ947">
        <f t="shared" si="14"/>
        <v>522</v>
      </c>
      <c r="BR947" t="s">
        <v>332</v>
      </c>
    </row>
    <row r="948" spans="1:70">
      <c r="A948" t="s">
        <v>3868</v>
      </c>
      <c r="B948" t="s">
        <v>3869</v>
      </c>
      <c r="C948" t="s">
        <v>71</v>
      </c>
      <c r="D948" t="s">
        <v>3839</v>
      </c>
      <c r="E948" t="s">
        <v>73</v>
      </c>
      <c r="F948" t="s">
        <v>74</v>
      </c>
      <c r="G948" t="s">
        <v>3870</v>
      </c>
      <c r="H948" t="s">
        <v>3871</v>
      </c>
      <c r="I948" t="s">
        <v>75</v>
      </c>
      <c r="J948" t="s">
        <v>74</v>
      </c>
      <c r="K948">
        <v>27072026</v>
      </c>
      <c r="L948" t="s">
        <v>83</v>
      </c>
      <c r="M948" t="s">
        <v>78</v>
      </c>
      <c r="N948" t="s">
        <v>83</v>
      </c>
      <c r="O948" t="s">
        <v>1065</v>
      </c>
      <c r="P948" t="s">
        <v>2240</v>
      </c>
      <c r="Q948" t="s">
        <v>123</v>
      </c>
      <c r="R948" t="s">
        <v>99</v>
      </c>
      <c r="S948" t="s">
        <v>285</v>
      </c>
      <c r="AF948" t="s">
        <v>326</v>
      </c>
      <c r="AG948" t="s">
        <v>296</v>
      </c>
      <c r="AH948" t="s">
        <v>326</v>
      </c>
      <c r="AJ948">
        <v>0</v>
      </c>
      <c r="AK948">
        <v>0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v>0</v>
      </c>
      <c r="AU948">
        <v>0</v>
      </c>
      <c r="AV948">
        <v>0</v>
      </c>
      <c r="AW948">
        <v>0</v>
      </c>
      <c r="AX948">
        <v>0</v>
      </c>
      <c r="AY948">
        <v>0</v>
      </c>
      <c r="AZ948">
        <v>0</v>
      </c>
      <c r="BA948">
        <v>0</v>
      </c>
      <c r="BB948">
        <v>0</v>
      </c>
      <c r="BC948">
        <v>0</v>
      </c>
      <c r="BD948">
        <v>0</v>
      </c>
      <c r="BE948">
        <v>2160</v>
      </c>
      <c r="BF948">
        <v>0</v>
      </c>
      <c r="BG948">
        <v>0</v>
      </c>
      <c r="BH948">
        <v>0</v>
      </c>
      <c r="BI948">
        <v>0</v>
      </c>
      <c r="BJ948">
        <v>0</v>
      </c>
      <c r="BK948">
        <v>0</v>
      </c>
      <c r="BL948">
        <v>0</v>
      </c>
      <c r="BM948">
        <v>0</v>
      </c>
      <c r="BN948">
        <v>2160</v>
      </c>
      <c r="BO948">
        <v>345.6</v>
      </c>
      <c r="BP948">
        <v>0</v>
      </c>
      <c r="BQ948">
        <f t="shared" si="14"/>
        <v>2505.6</v>
      </c>
      <c r="BR948" t="s">
        <v>83</v>
      </c>
    </row>
    <row r="949" spans="1:70">
      <c r="A949" t="s">
        <v>3872</v>
      </c>
      <c r="B949" t="s">
        <v>3873</v>
      </c>
      <c r="C949" t="s">
        <v>71</v>
      </c>
      <c r="D949" t="s">
        <v>3839</v>
      </c>
      <c r="E949" t="s">
        <v>73</v>
      </c>
      <c r="F949" t="s">
        <v>74</v>
      </c>
      <c r="G949" t="s">
        <v>3874</v>
      </c>
      <c r="H949" t="s">
        <v>3875</v>
      </c>
      <c r="I949" t="s">
        <v>74</v>
      </c>
      <c r="J949" t="s">
        <v>74</v>
      </c>
      <c r="K949" t="s">
        <v>91</v>
      </c>
      <c r="L949" t="s">
        <v>83</v>
      </c>
      <c r="M949" t="s">
        <v>78</v>
      </c>
      <c r="N949" t="s">
        <v>83</v>
      </c>
      <c r="O949" t="s">
        <v>578</v>
      </c>
      <c r="P949" t="s">
        <v>2381</v>
      </c>
      <c r="Q949" t="s">
        <v>3876</v>
      </c>
      <c r="R949" t="s">
        <v>99</v>
      </c>
      <c r="S949" t="s">
        <v>285</v>
      </c>
      <c r="AF949" t="s">
        <v>1890</v>
      </c>
      <c r="AG949" t="s">
        <v>296</v>
      </c>
      <c r="AH949" t="s">
        <v>1890</v>
      </c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0</v>
      </c>
      <c r="AX949">
        <v>0</v>
      </c>
      <c r="AY949">
        <v>0</v>
      </c>
      <c r="AZ949">
        <v>0</v>
      </c>
      <c r="BA949">
        <v>0</v>
      </c>
      <c r="BB949">
        <v>0</v>
      </c>
      <c r="BC949">
        <v>0</v>
      </c>
      <c r="BD949">
        <v>0</v>
      </c>
      <c r="BE949">
        <v>0</v>
      </c>
      <c r="BF949">
        <v>0</v>
      </c>
      <c r="BG949">
        <v>0</v>
      </c>
      <c r="BH949">
        <v>0</v>
      </c>
      <c r="BI949">
        <v>0</v>
      </c>
      <c r="BJ949">
        <v>0</v>
      </c>
      <c r="BK949">
        <v>0</v>
      </c>
      <c r="BL949">
        <v>0</v>
      </c>
      <c r="BM949">
        <v>600</v>
      </c>
      <c r="BN949">
        <v>600</v>
      </c>
      <c r="BO949">
        <v>96</v>
      </c>
      <c r="BP949">
        <v>0</v>
      </c>
      <c r="BQ949">
        <f t="shared" si="14"/>
        <v>696</v>
      </c>
      <c r="BR949" t="s">
        <v>83</v>
      </c>
    </row>
    <row r="950" spans="1:70">
      <c r="A950" t="s">
        <v>3877</v>
      </c>
      <c r="B950" t="s">
        <v>3878</v>
      </c>
      <c r="C950" t="s">
        <v>71</v>
      </c>
      <c r="D950" t="s">
        <v>3839</v>
      </c>
      <c r="E950" t="s">
        <v>73</v>
      </c>
      <c r="F950" t="s">
        <v>3879</v>
      </c>
      <c r="G950" t="s">
        <v>74</v>
      </c>
      <c r="H950" t="s">
        <v>74</v>
      </c>
      <c r="I950" t="s">
        <v>74</v>
      </c>
      <c r="J950" t="s">
        <v>74</v>
      </c>
      <c r="K950" t="s">
        <v>91</v>
      </c>
      <c r="L950" t="s">
        <v>83</v>
      </c>
      <c r="M950" t="s">
        <v>78</v>
      </c>
      <c r="N950" t="s">
        <v>83</v>
      </c>
      <c r="O950" t="s">
        <v>78</v>
      </c>
      <c r="P950" t="s">
        <v>2381</v>
      </c>
      <c r="Q950" t="s">
        <v>110</v>
      </c>
      <c r="R950" t="s">
        <v>3881</v>
      </c>
      <c r="S950" t="s">
        <v>3880</v>
      </c>
      <c r="AF950" t="s">
        <v>1890</v>
      </c>
      <c r="AG950" t="s">
        <v>296</v>
      </c>
      <c r="AH950" t="s">
        <v>1890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1100</v>
      </c>
      <c r="AQ950">
        <v>0</v>
      </c>
      <c r="AR950">
        <v>0</v>
      </c>
      <c r="AS950">
        <v>0</v>
      </c>
      <c r="AT950">
        <v>0</v>
      </c>
      <c r="AU950">
        <v>0</v>
      </c>
      <c r="AV950">
        <v>0</v>
      </c>
      <c r="AW950">
        <v>0</v>
      </c>
      <c r="AX950">
        <v>0</v>
      </c>
      <c r="AY950">
        <v>0</v>
      </c>
      <c r="AZ950">
        <v>0</v>
      </c>
      <c r="BA950">
        <v>0</v>
      </c>
      <c r="BB950">
        <v>0</v>
      </c>
      <c r="BC950">
        <v>0</v>
      </c>
      <c r="BD950">
        <v>0</v>
      </c>
      <c r="BE950">
        <v>0</v>
      </c>
      <c r="BF950">
        <v>0</v>
      </c>
      <c r="BG950">
        <v>0</v>
      </c>
      <c r="BH950">
        <v>0</v>
      </c>
      <c r="BI950">
        <v>0</v>
      </c>
      <c r="BJ950">
        <v>0</v>
      </c>
      <c r="BK950">
        <v>0</v>
      </c>
      <c r="BL950">
        <v>0</v>
      </c>
      <c r="BM950">
        <v>0</v>
      </c>
      <c r="BN950">
        <v>1100</v>
      </c>
      <c r="BO950">
        <v>176</v>
      </c>
      <c r="BP950">
        <v>0</v>
      </c>
      <c r="BQ950">
        <f t="shared" si="14"/>
        <v>1276</v>
      </c>
      <c r="BR950" t="s">
        <v>83</v>
      </c>
    </row>
    <row r="951" spans="1:70">
      <c r="A951" t="s">
        <v>3882</v>
      </c>
      <c r="B951" t="s">
        <v>3883</v>
      </c>
      <c r="C951" t="s">
        <v>71</v>
      </c>
      <c r="D951" t="s">
        <v>3839</v>
      </c>
      <c r="E951" t="s">
        <v>73</v>
      </c>
      <c r="F951" t="s">
        <v>3065</v>
      </c>
      <c r="G951" t="s">
        <v>3884</v>
      </c>
      <c r="H951" t="s">
        <v>74</v>
      </c>
      <c r="I951" t="s">
        <v>75</v>
      </c>
      <c r="J951" t="s">
        <v>74</v>
      </c>
      <c r="K951" t="s">
        <v>2209</v>
      </c>
      <c r="L951" t="s">
        <v>2033</v>
      </c>
      <c r="M951" t="s">
        <v>78</v>
      </c>
      <c r="N951" t="s">
        <v>2033</v>
      </c>
      <c r="O951" t="s">
        <v>845</v>
      </c>
      <c r="P951" t="s">
        <v>3329</v>
      </c>
      <c r="Q951" t="s">
        <v>3886</v>
      </c>
      <c r="R951" t="s">
        <v>99</v>
      </c>
      <c r="S951" t="s">
        <v>3885</v>
      </c>
      <c r="AF951" t="s">
        <v>1890</v>
      </c>
      <c r="AG951" t="s">
        <v>296</v>
      </c>
      <c r="AH951" t="s">
        <v>1890</v>
      </c>
      <c r="AJ951">
        <v>0</v>
      </c>
      <c r="AK951">
        <v>0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v>0</v>
      </c>
      <c r="AU951">
        <v>0</v>
      </c>
      <c r="AV951">
        <v>0</v>
      </c>
      <c r="AW951">
        <v>0</v>
      </c>
      <c r="AX951">
        <v>0</v>
      </c>
      <c r="AY951">
        <v>0</v>
      </c>
      <c r="AZ951">
        <v>0</v>
      </c>
      <c r="BA951">
        <v>0</v>
      </c>
      <c r="BB951">
        <v>0</v>
      </c>
      <c r="BC951">
        <v>0</v>
      </c>
      <c r="BD951">
        <v>0</v>
      </c>
      <c r="BE951">
        <v>0</v>
      </c>
      <c r="BF951">
        <v>0</v>
      </c>
      <c r="BG951">
        <v>0</v>
      </c>
      <c r="BH951">
        <v>0</v>
      </c>
      <c r="BI951">
        <v>0</v>
      </c>
      <c r="BJ951">
        <v>0</v>
      </c>
      <c r="BK951">
        <v>0</v>
      </c>
      <c r="BL951">
        <v>0</v>
      </c>
      <c r="BM951">
        <v>450</v>
      </c>
      <c r="BN951">
        <v>450</v>
      </c>
      <c r="BO951">
        <v>72</v>
      </c>
      <c r="BP951">
        <v>0</v>
      </c>
      <c r="BQ951">
        <f t="shared" si="14"/>
        <v>522</v>
      </c>
      <c r="BR951" t="s">
        <v>332</v>
      </c>
    </row>
    <row r="952" spans="1:70">
      <c r="A952" t="s">
        <v>3887</v>
      </c>
      <c r="B952" t="s">
        <v>3888</v>
      </c>
      <c r="C952" t="s">
        <v>71</v>
      </c>
      <c r="D952" t="s">
        <v>3839</v>
      </c>
      <c r="E952" t="s">
        <v>73</v>
      </c>
      <c r="F952" t="s">
        <v>74</v>
      </c>
      <c r="G952" t="s">
        <v>3889</v>
      </c>
      <c r="H952" t="s">
        <v>3890</v>
      </c>
      <c r="I952" t="s">
        <v>74</v>
      </c>
      <c r="J952" t="s">
        <v>74</v>
      </c>
      <c r="K952" t="s">
        <v>91</v>
      </c>
      <c r="L952" t="s">
        <v>83</v>
      </c>
      <c r="M952" t="s">
        <v>78</v>
      </c>
      <c r="N952" t="s">
        <v>83</v>
      </c>
      <c r="O952" t="s">
        <v>837</v>
      </c>
      <c r="P952" t="s">
        <v>3329</v>
      </c>
      <c r="Q952" t="s">
        <v>142</v>
      </c>
      <c r="R952" t="s">
        <v>3891</v>
      </c>
      <c r="S952" t="s">
        <v>285</v>
      </c>
      <c r="AF952" t="s">
        <v>1890</v>
      </c>
      <c r="AG952" t="s">
        <v>296</v>
      </c>
      <c r="AH952" t="s">
        <v>1890</v>
      </c>
      <c r="AJ952">
        <v>0</v>
      </c>
      <c r="AK952">
        <v>0</v>
      </c>
      <c r="AL952">
        <v>0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0</v>
      </c>
      <c r="AT952">
        <v>0</v>
      </c>
      <c r="AU952">
        <v>0</v>
      </c>
      <c r="AV952">
        <v>0</v>
      </c>
      <c r="AW952">
        <v>0</v>
      </c>
      <c r="AX952">
        <v>0</v>
      </c>
      <c r="AY952">
        <v>0</v>
      </c>
      <c r="AZ952">
        <v>0</v>
      </c>
      <c r="BA952">
        <v>0</v>
      </c>
      <c r="BB952">
        <v>0</v>
      </c>
      <c r="BC952">
        <v>0</v>
      </c>
      <c r="BD952">
        <v>0</v>
      </c>
      <c r="BE952">
        <v>4320</v>
      </c>
      <c r="BF952">
        <v>0</v>
      </c>
      <c r="BG952">
        <v>0</v>
      </c>
      <c r="BH952">
        <v>0</v>
      </c>
      <c r="BI952">
        <v>0</v>
      </c>
      <c r="BJ952">
        <v>0</v>
      </c>
      <c r="BK952">
        <v>0</v>
      </c>
      <c r="BL952">
        <v>0</v>
      </c>
      <c r="BM952">
        <v>0</v>
      </c>
      <c r="BN952">
        <v>4320</v>
      </c>
      <c r="BO952">
        <v>691.2</v>
      </c>
      <c r="BP952">
        <v>0</v>
      </c>
      <c r="BQ952">
        <f t="shared" si="14"/>
        <v>5011.2</v>
      </c>
      <c r="BR952" t="s">
        <v>83</v>
      </c>
    </row>
    <row r="953" spans="1:70">
      <c r="A953" t="s">
        <v>3892</v>
      </c>
      <c r="B953" t="s">
        <v>3893</v>
      </c>
      <c r="C953" t="s">
        <v>71</v>
      </c>
      <c r="D953" t="s">
        <v>3839</v>
      </c>
      <c r="E953" t="s">
        <v>73</v>
      </c>
      <c r="F953" t="s">
        <v>74</v>
      </c>
      <c r="G953" t="s">
        <v>3894</v>
      </c>
      <c r="H953" t="s">
        <v>3895</v>
      </c>
      <c r="I953" t="s">
        <v>75</v>
      </c>
      <c r="J953" t="s">
        <v>74</v>
      </c>
      <c r="K953" t="s">
        <v>91</v>
      </c>
      <c r="L953" t="s">
        <v>83</v>
      </c>
      <c r="M953" t="s">
        <v>78</v>
      </c>
      <c r="N953" t="s">
        <v>83</v>
      </c>
      <c r="O953" t="s">
        <v>716</v>
      </c>
      <c r="P953" t="s">
        <v>3580</v>
      </c>
      <c r="Q953" t="s">
        <v>98</v>
      </c>
      <c r="R953" t="s">
        <v>99</v>
      </c>
      <c r="S953" t="s">
        <v>3896</v>
      </c>
      <c r="AF953" t="s">
        <v>1890</v>
      </c>
      <c r="AG953" t="s">
        <v>296</v>
      </c>
      <c r="AH953" t="s">
        <v>1890</v>
      </c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</v>
      </c>
      <c r="AY953">
        <v>0</v>
      </c>
      <c r="AZ953">
        <v>0</v>
      </c>
      <c r="BA953">
        <v>0</v>
      </c>
      <c r="BB953">
        <v>0</v>
      </c>
      <c r="BC953">
        <v>0</v>
      </c>
      <c r="BD953">
        <v>0</v>
      </c>
      <c r="BE953">
        <v>0</v>
      </c>
      <c r="BF953">
        <v>0</v>
      </c>
      <c r="BG953">
        <v>0</v>
      </c>
      <c r="BH953">
        <v>0</v>
      </c>
      <c r="BI953">
        <v>0</v>
      </c>
      <c r="BJ953">
        <v>0</v>
      </c>
      <c r="BK953">
        <v>0</v>
      </c>
      <c r="BL953">
        <v>0</v>
      </c>
      <c r="BM953">
        <v>300</v>
      </c>
      <c r="BN953">
        <v>300</v>
      </c>
      <c r="BO953">
        <v>48</v>
      </c>
      <c r="BP953">
        <v>0</v>
      </c>
      <c r="BQ953">
        <f t="shared" si="14"/>
        <v>348</v>
      </c>
      <c r="BR953" t="s">
        <v>83</v>
      </c>
    </row>
    <row r="954" spans="1:70">
      <c r="A954" t="s">
        <v>3897</v>
      </c>
      <c r="B954" t="s">
        <v>3898</v>
      </c>
      <c r="C954" t="s">
        <v>71</v>
      </c>
      <c r="D954" t="s">
        <v>3899</v>
      </c>
      <c r="E954" t="s">
        <v>73</v>
      </c>
      <c r="F954" t="s">
        <v>74</v>
      </c>
      <c r="G954" t="s">
        <v>3900</v>
      </c>
      <c r="H954" t="s">
        <v>74</v>
      </c>
      <c r="I954" t="s">
        <v>75</v>
      </c>
      <c r="J954" t="s">
        <v>74</v>
      </c>
      <c r="K954" t="s">
        <v>3901</v>
      </c>
      <c r="L954" t="s">
        <v>77</v>
      </c>
      <c r="M954" t="s">
        <v>78</v>
      </c>
      <c r="N954" t="s">
        <v>499</v>
      </c>
      <c r="O954" t="s">
        <v>3902</v>
      </c>
      <c r="P954" t="s">
        <v>1229</v>
      </c>
      <c r="Q954" t="s">
        <v>110</v>
      </c>
      <c r="R954" t="s">
        <v>99</v>
      </c>
      <c r="S954" t="s">
        <v>285</v>
      </c>
      <c r="AF954" t="s">
        <v>3903</v>
      </c>
      <c r="AG954" t="s">
        <v>3904</v>
      </c>
      <c r="AH954" t="s">
        <v>3905</v>
      </c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v>0</v>
      </c>
      <c r="AU954">
        <v>0</v>
      </c>
      <c r="AV954">
        <v>0</v>
      </c>
      <c r="AW954">
        <v>0</v>
      </c>
      <c r="AX954">
        <v>0</v>
      </c>
      <c r="AY954">
        <v>0</v>
      </c>
      <c r="AZ954">
        <v>0</v>
      </c>
      <c r="BA954">
        <v>0</v>
      </c>
      <c r="BB954">
        <v>0</v>
      </c>
      <c r="BC954">
        <v>0</v>
      </c>
      <c r="BD954">
        <v>211</v>
      </c>
      <c r="BE954">
        <v>0</v>
      </c>
      <c r="BF954">
        <v>180</v>
      </c>
      <c r="BG954">
        <v>0</v>
      </c>
      <c r="BH954">
        <v>0</v>
      </c>
      <c r="BI954">
        <v>0</v>
      </c>
      <c r="BJ954">
        <v>0</v>
      </c>
      <c r="BK954">
        <v>0</v>
      </c>
      <c r="BL954">
        <v>0</v>
      </c>
      <c r="BM954">
        <v>0</v>
      </c>
      <c r="BN954">
        <v>391</v>
      </c>
      <c r="BO954">
        <v>62.56</v>
      </c>
      <c r="BP954">
        <v>15.64</v>
      </c>
      <c r="BQ954">
        <f t="shared" si="14"/>
        <v>437.92</v>
      </c>
      <c r="BR954" t="s">
        <v>501</v>
      </c>
    </row>
    <row r="955" spans="1:70">
      <c r="A955" t="s">
        <v>3906</v>
      </c>
      <c r="B955" t="s">
        <v>3907</v>
      </c>
      <c r="C955" t="s">
        <v>71</v>
      </c>
      <c r="D955" t="s">
        <v>3899</v>
      </c>
      <c r="E955" t="s">
        <v>73</v>
      </c>
      <c r="F955" t="s">
        <v>74</v>
      </c>
      <c r="G955" t="s">
        <v>3908</v>
      </c>
      <c r="H955" t="s">
        <v>74</v>
      </c>
      <c r="I955" t="s">
        <v>75</v>
      </c>
      <c r="J955" t="s">
        <v>74</v>
      </c>
      <c r="K955" t="s">
        <v>3909</v>
      </c>
      <c r="L955" t="s">
        <v>77</v>
      </c>
      <c r="M955" t="s">
        <v>78</v>
      </c>
      <c r="N955" t="s">
        <v>1064</v>
      </c>
      <c r="O955" t="s">
        <v>1065</v>
      </c>
      <c r="P955" t="s">
        <v>1820</v>
      </c>
      <c r="Q955" t="s">
        <v>110</v>
      </c>
      <c r="R955" t="s">
        <v>99</v>
      </c>
      <c r="S955" t="s">
        <v>285</v>
      </c>
      <c r="AF955" t="s">
        <v>3910</v>
      </c>
      <c r="AG955" t="s">
        <v>3911</v>
      </c>
      <c r="AH955" t="s">
        <v>339</v>
      </c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</v>
      </c>
      <c r="AY955">
        <v>0</v>
      </c>
      <c r="AZ955">
        <v>0</v>
      </c>
      <c r="BA955">
        <v>0</v>
      </c>
      <c r="BB955">
        <v>0</v>
      </c>
      <c r="BC955">
        <v>0</v>
      </c>
      <c r="BD955">
        <v>192</v>
      </c>
      <c r="BE955">
        <v>0</v>
      </c>
      <c r="BF955">
        <v>180</v>
      </c>
      <c r="BG955">
        <v>0</v>
      </c>
      <c r="BH955">
        <v>0</v>
      </c>
      <c r="BI955">
        <v>0</v>
      </c>
      <c r="BJ955">
        <v>0</v>
      </c>
      <c r="BK955">
        <v>0</v>
      </c>
      <c r="BL955">
        <v>0</v>
      </c>
      <c r="BM955">
        <v>0</v>
      </c>
      <c r="BN955">
        <v>372</v>
      </c>
      <c r="BO955">
        <v>59.52</v>
      </c>
      <c r="BP955">
        <v>14.88</v>
      </c>
      <c r="BQ955">
        <f t="shared" si="14"/>
        <v>416.64</v>
      </c>
      <c r="BR955" t="s">
        <v>83</v>
      </c>
    </row>
    <row r="956" spans="1:70">
      <c r="A956" t="s">
        <v>3912</v>
      </c>
      <c r="B956" t="s">
        <v>3913</v>
      </c>
      <c r="C956" t="s">
        <v>71</v>
      </c>
      <c r="D956" t="s">
        <v>3899</v>
      </c>
      <c r="E956" t="s">
        <v>73</v>
      </c>
      <c r="F956" t="s">
        <v>74</v>
      </c>
      <c r="G956" t="s">
        <v>74</v>
      </c>
      <c r="H956" t="s">
        <v>74</v>
      </c>
      <c r="I956" t="s">
        <v>75</v>
      </c>
      <c r="J956" t="s">
        <v>74</v>
      </c>
      <c r="K956" t="s">
        <v>91</v>
      </c>
      <c r="L956" t="s">
        <v>286</v>
      </c>
      <c r="M956" t="s">
        <v>3914</v>
      </c>
      <c r="N956" t="s">
        <v>94</v>
      </c>
      <c r="O956" t="s">
        <v>78</v>
      </c>
      <c r="P956" t="s">
        <v>214</v>
      </c>
      <c r="Q956" t="s">
        <v>110</v>
      </c>
      <c r="R956" t="s">
        <v>99</v>
      </c>
      <c r="S956" t="s">
        <v>3915</v>
      </c>
      <c r="AF956" t="s">
        <v>295</v>
      </c>
      <c r="AG956" t="s">
        <v>3916</v>
      </c>
      <c r="AH956" t="s">
        <v>295</v>
      </c>
      <c r="AJ956">
        <v>0</v>
      </c>
      <c r="AK956">
        <v>0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v>0</v>
      </c>
      <c r="AU956">
        <v>0</v>
      </c>
      <c r="AV956">
        <v>0</v>
      </c>
      <c r="AW956">
        <v>0</v>
      </c>
      <c r="AX956">
        <v>0</v>
      </c>
      <c r="AY956">
        <v>0</v>
      </c>
      <c r="AZ956">
        <v>0</v>
      </c>
      <c r="BA956">
        <v>0</v>
      </c>
      <c r="BB956">
        <v>0</v>
      </c>
      <c r="BC956">
        <v>0</v>
      </c>
      <c r="BD956">
        <v>125</v>
      </c>
      <c r="BE956">
        <v>0</v>
      </c>
      <c r="BF956">
        <v>148</v>
      </c>
      <c r="BG956">
        <v>0</v>
      </c>
      <c r="BH956">
        <v>0</v>
      </c>
      <c r="BI956">
        <v>134</v>
      </c>
      <c r="BJ956">
        <v>0</v>
      </c>
      <c r="BK956">
        <v>0</v>
      </c>
      <c r="BL956">
        <v>0</v>
      </c>
      <c r="BM956">
        <v>0</v>
      </c>
      <c r="BN956">
        <v>407</v>
      </c>
      <c r="BO956">
        <v>65.12</v>
      </c>
      <c r="BP956">
        <v>16.28</v>
      </c>
      <c r="BQ956">
        <f t="shared" si="14"/>
        <v>455.84000000000003</v>
      </c>
      <c r="BR956" t="s">
        <v>94</v>
      </c>
    </row>
    <row r="957" spans="1:70">
      <c r="A957" t="s">
        <v>3917</v>
      </c>
      <c r="B957" t="s">
        <v>3918</v>
      </c>
      <c r="C957" t="s">
        <v>71</v>
      </c>
      <c r="D957" t="s">
        <v>3919</v>
      </c>
      <c r="E957" t="s">
        <v>73</v>
      </c>
      <c r="F957" t="s">
        <v>74</v>
      </c>
      <c r="G957" t="s">
        <v>3920</v>
      </c>
      <c r="H957" t="s">
        <v>74</v>
      </c>
      <c r="I957" t="s">
        <v>75</v>
      </c>
      <c r="J957" t="s">
        <v>74</v>
      </c>
      <c r="K957">
        <v>63883006</v>
      </c>
      <c r="L957" t="s">
        <v>3921</v>
      </c>
      <c r="M957" t="s">
        <v>3922</v>
      </c>
      <c r="N957" t="s">
        <v>94</v>
      </c>
      <c r="O957" t="s">
        <v>3923</v>
      </c>
      <c r="P957" t="s">
        <v>2417</v>
      </c>
      <c r="Q957" t="s">
        <v>3925</v>
      </c>
      <c r="R957" t="s">
        <v>99</v>
      </c>
      <c r="S957" t="s">
        <v>3924</v>
      </c>
      <c r="AF957" t="s">
        <v>333</v>
      </c>
      <c r="AG957" t="s">
        <v>125</v>
      </c>
      <c r="AH957" t="s">
        <v>333</v>
      </c>
      <c r="AJ957">
        <v>0</v>
      </c>
      <c r="AK957">
        <v>0</v>
      </c>
      <c r="AL957">
        <v>0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0.75</v>
      </c>
      <c r="AT957">
        <v>0</v>
      </c>
      <c r="AU957">
        <v>0</v>
      </c>
      <c r="AV957">
        <v>0</v>
      </c>
      <c r="AW957">
        <v>0</v>
      </c>
      <c r="AX957">
        <v>0</v>
      </c>
      <c r="AY957">
        <v>0</v>
      </c>
      <c r="AZ957">
        <v>0</v>
      </c>
      <c r="BA957">
        <v>0</v>
      </c>
      <c r="BB957">
        <v>0</v>
      </c>
      <c r="BC957">
        <v>0</v>
      </c>
      <c r="BD957">
        <v>77.25</v>
      </c>
      <c r="BE957">
        <v>0</v>
      </c>
      <c r="BF957">
        <v>200</v>
      </c>
      <c r="BG957">
        <v>0</v>
      </c>
      <c r="BH957">
        <v>0</v>
      </c>
      <c r="BI957">
        <v>40</v>
      </c>
      <c r="BJ957">
        <v>0</v>
      </c>
      <c r="BK957">
        <v>0</v>
      </c>
      <c r="BL957">
        <v>0</v>
      </c>
      <c r="BM957">
        <v>0</v>
      </c>
      <c r="BN957">
        <v>318</v>
      </c>
      <c r="BO957">
        <v>50.88</v>
      </c>
      <c r="BP957">
        <v>12.72</v>
      </c>
      <c r="BQ957">
        <f t="shared" si="14"/>
        <v>356.15999999999997</v>
      </c>
      <c r="BR957" t="s">
        <v>94</v>
      </c>
    </row>
    <row r="958" spans="1:70">
      <c r="A958" t="s">
        <v>3926</v>
      </c>
      <c r="B958" t="s">
        <v>3927</v>
      </c>
      <c r="C958" t="s">
        <v>71</v>
      </c>
      <c r="D958" t="s">
        <v>3919</v>
      </c>
      <c r="E958" t="s">
        <v>73</v>
      </c>
      <c r="F958" t="s">
        <v>74</v>
      </c>
      <c r="G958" t="s">
        <v>74</v>
      </c>
      <c r="H958" t="s">
        <v>74</v>
      </c>
      <c r="I958" t="s">
        <v>75</v>
      </c>
      <c r="J958" t="s">
        <v>74</v>
      </c>
      <c r="K958">
        <v>12569585</v>
      </c>
      <c r="L958" t="s">
        <v>119</v>
      </c>
      <c r="M958" t="s">
        <v>3928</v>
      </c>
      <c r="N958" t="s">
        <v>94</v>
      </c>
      <c r="O958" t="s">
        <v>3929</v>
      </c>
      <c r="P958" t="s">
        <v>267</v>
      </c>
      <c r="Q958" t="s">
        <v>3925</v>
      </c>
      <c r="R958" t="s">
        <v>99</v>
      </c>
      <c r="S958" t="s">
        <v>3930</v>
      </c>
      <c r="AF958" t="s">
        <v>3931</v>
      </c>
      <c r="AG958" t="s">
        <v>3932</v>
      </c>
      <c r="AH958" t="s">
        <v>3931</v>
      </c>
      <c r="AJ958">
        <v>0</v>
      </c>
      <c r="AK958">
        <v>0</v>
      </c>
      <c r="AL958">
        <v>0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0.75</v>
      </c>
      <c r="AT958">
        <v>0</v>
      </c>
      <c r="AU958">
        <v>0</v>
      </c>
      <c r="AV958">
        <v>0</v>
      </c>
      <c r="AW958">
        <v>0</v>
      </c>
      <c r="AX958">
        <v>0</v>
      </c>
      <c r="AY958">
        <v>0</v>
      </c>
      <c r="AZ958">
        <v>0</v>
      </c>
      <c r="BA958">
        <v>0</v>
      </c>
      <c r="BB958">
        <v>0</v>
      </c>
      <c r="BC958">
        <v>0</v>
      </c>
      <c r="BD958">
        <v>77.25</v>
      </c>
      <c r="BE958">
        <v>0</v>
      </c>
      <c r="BF958">
        <v>200</v>
      </c>
      <c r="BG958">
        <v>0</v>
      </c>
      <c r="BH958">
        <v>0</v>
      </c>
      <c r="BI958">
        <v>40</v>
      </c>
      <c r="BJ958">
        <v>0</v>
      </c>
      <c r="BK958">
        <v>0</v>
      </c>
      <c r="BL958">
        <v>0</v>
      </c>
      <c r="BM958">
        <v>0</v>
      </c>
      <c r="BN958">
        <v>318</v>
      </c>
      <c r="BO958">
        <v>50.88</v>
      </c>
      <c r="BP958">
        <v>12.72</v>
      </c>
      <c r="BQ958">
        <f t="shared" si="14"/>
        <v>356.15999999999997</v>
      </c>
      <c r="BR958" t="s">
        <v>94</v>
      </c>
    </row>
    <row r="959" spans="1:70">
      <c r="A959" t="s">
        <v>3933</v>
      </c>
      <c r="B959" t="s">
        <v>3934</v>
      </c>
      <c r="C959" t="s">
        <v>71</v>
      </c>
      <c r="D959" t="s">
        <v>3935</v>
      </c>
      <c r="E959" t="s">
        <v>73</v>
      </c>
      <c r="F959" t="s">
        <v>74</v>
      </c>
      <c r="G959" t="s">
        <v>3936</v>
      </c>
      <c r="H959" t="s">
        <v>74</v>
      </c>
      <c r="I959" t="s">
        <v>75</v>
      </c>
      <c r="J959" t="s">
        <v>74</v>
      </c>
      <c r="K959">
        <v>58985126</v>
      </c>
      <c r="L959" t="s">
        <v>83</v>
      </c>
      <c r="M959" t="s">
        <v>3010</v>
      </c>
      <c r="N959" t="s">
        <v>94</v>
      </c>
      <c r="O959" t="s">
        <v>3937</v>
      </c>
      <c r="P959" t="s">
        <v>3553</v>
      </c>
      <c r="Q959" t="s">
        <v>110</v>
      </c>
      <c r="R959" t="s">
        <v>3891</v>
      </c>
      <c r="S959" t="s">
        <v>3938</v>
      </c>
      <c r="AF959" t="s">
        <v>3011</v>
      </c>
      <c r="AG959" t="s">
        <v>296</v>
      </c>
      <c r="AH959" t="s">
        <v>3011</v>
      </c>
      <c r="AJ959">
        <v>0</v>
      </c>
      <c r="AK959">
        <v>0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16.23</v>
      </c>
      <c r="AT959">
        <v>0</v>
      </c>
      <c r="AU959">
        <v>0</v>
      </c>
      <c r="AV959">
        <v>0</v>
      </c>
      <c r="AW959">
        <v>0</v>
      </c>
      <c r="AX959">
        <v>0</v>
      </c>
      <c r="AY959">
        <v>0</v>
      </c>
      <c r="AZ959">
        <v>0</v>
      </c>
      <c r="BA959">
        <v>0</v>
      </c>
      <c r="BB959">
        <v>0</v>
      </c>
      <c r="BC959">
        <v>0</v>
      </c>
      <c r="BD959">
        <v>1417.89</v>
      </c>
      <c r="BE959">
        <v>0</v>
      </c>
      <c r="BF959">
        <v>658.08</v>
      </c>
      <c r="BG959">
        <v>0</v>
      </c>
      <c r="BH959">
        <v>0</v>
      </c>
      <c r="BI959">
        <v>0</v>
      </c>
      <c r="BJ959">
        <v>0</v>
      </c>
      <c r="BK959">
        <v>0</v>
      </c>
      <c r="BL959">
        <v>0</v>
      </c>
      <c r="BM959">
        <v>0</v>
      </c>
      <c r="BN959">
        <v>2092.1999999999998</v>
      </c>
      <c r="BO959">
        <v>334.75</v>
      </c>
      <c r="BP959">
        <v>83.69</v>
      </c>
      <c r="BQ959">
        <f t="shared" si="14"/>
        <v>2343.2599999999998</v>
      </c>
      <c r="BR959" t="s">
        <v>94</v>
      </c>
    </row>
    <row r="960" spans="1:70">
      <c r="S960" t="s">
        <v>3939</v>
      </c>
      <c r="T960">
        <f t="shared" ref="T960:AE960" si="15">SUM(T2:T959)</f>
        <v>94</v>
      </c>
      <c r="U960">
        <f t="shared" si="15"/>
        <v>4</v>
      </c>
      <c r="V960">
        <f t="shared" si="15"/>
        <v>95</v>
      </c>
      <c r="W960">
        <f t="shared" si="15"/>
        <v>0</v>
      </c>
      <c r="X960">
        <f t="shared" si="15"/>
        <v>9128</v>
      </c>
      <c r="Y960">
        <f t="shared" si="15"/>
        <v>0</v>
      </c>
      <c r="Z960">
        <f t="shared" si="15"/>
        <v>92</v>
      </c>
      <c r="AA960">
        <f t="shared" si="15"/>
        <v>0</v>
      </c>
      <c r="AB960">
        <f t="shared" si="15"/>
        <v>125</v>
      </c>
      <c r="AC960">
        <f t="shared" si="15"/>
        <v>0</v>
      </c>
      <c r="AD960">
        <f t="shared" si="15"/>
        <v>204</v>
      </c>
      <c r="AE960">
        <f t="shared" si="15"/>
        <v>0</v>
      </c>
      <c r="AJ960">
        <f t="shared" ref="AJ960:BQ960" si="16">SUM(AJ2:AJ959)</f>
        <v>6018</v>
      </c>
      <c r="AK960">
        <f t="shared" si="16"/>
        <v>2160</v>
      </c>
      <c r="AL960">
        <f t="shared" si="16"/>
        <v>0</v>
      </c>
      <c r="AM960">
        <f t="shared" si="16"/>
        <v>0</v>
      </c>
      <c r="AN960">
        <f t="shared" si="16"/>
        <v>1832.32</v>
      </c>
      <c r="AO960">
        <f t="shared" si="16"/>
        <v>0</v>
      </c>
      <c r="AP960">
        <f t="shared" si="16"/>
        <v>1100</v>
      </c>
      <c r="AQ960">
        <f t="shared" si="16"/>
        <v>0</v>
      </c>
      <c r="AR960">
        <f t="shared" si="16"/>
        <v>0</v>
      </c>
      <c r="AS960">
        <f t="shared" si="16"/>
        <v>5311.1200000000053</v>
      </c>
      <c r="AT960">
        <f t="shared" si="16"/>
        <v>0</v>
      </c>
      <c r="AU960">
        <f t="shared" si="16"/>
        <v>0</v>
      </c>
      <c r="AV960">
        <f t="shared" si="16"/>
        <v>18868.640000000003</v>
      </c>
      <c r="AW960">
        <f t="shared" si="16"/>
        <v>0</v>
      </c>
      <c r="AX960">
        <f t="shared" si="16"/>
        <v>0</v>
      </c>
      <c r="AY960">
        <f t="shared" si="16"/>
        <v>0</v>
      </c>
      <c r="AZ960">
        <f t="shared" si="16"/>
        <v>0</v>
      </c>
      <c r="BA960">
        <f t="shared" si="16"/>
        <v>0</v>
      </c>
      <c r="BB960">
        <f t="shared" si="16"/>
        <v>20</v>
      </c>
      <c r="BC960">
        <f t="shared" si="16"/>
        <v>0</v>
      </c>
      <c r="BD960">
        <f t="shared" si="16"/>
        <v>594613.27000000118</v>
      </c>
      <c r="BE960">
        <f t="shared" si="16"/>
        <v>18978</v>
      </c>
      <c r="BF960">
        <f t="shared" si="16"/>
        <v>439193.47</v>
      </c>
      <c r="BG960">
        <f t="shared" si="16"/>
        <v>0</v>
      </c>
      <c r="BH960">
        <f t="shared" si="16"/>
        <v>2160</v>
      </c>
      <c r="BI960">
        <f t="shared" si="16"/>
        <v>119348.6</v>
      </c>
      <c r="BJ960">
        <f t="shared" si="16"/>
        <v>0</v>
      </c>
      <c r="BK960">
        <f t="shared" si="16"/>
        <v>0</v>
      </c>
      <c r="BL960">
        <f t="shared" si="16"/>
        <v>0</v>
      </c>
      <c r="BM960">
        <f t="shared" si="16"/>
        <v>3050</v>
      </c>
      <c r="BN960">
        <f t="shared" si="16"/>
        <v>1210493.4199999957</v>
      </c>
      <c r="BO960">
        <f t="shared" si="16"/>
        <v>193678.68999999977</v>
      </c>
      <c r="BP960">
        <f t="shared" si="16"/>
        <v>46579.569999999934</v>
      </c>
      <c r="BQ960">
        <f t="shared" si="16"/>
        <v>1357592.5400000007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Embarques Documentados por Eq.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Rigoberto Del Real</cp:lastModifiedBy>
  <dcterms:created xsi:type="dcterms:W3CDTF">2026-08-22T15:27:56Z</dcterms:created>
  <dcterms:modified xsi:type="dcterms:W3CDTF">2026-08-22T15:28:57Z</dcterms:modified>
  <cp:category/>
</cp:coreProperties>
</file>